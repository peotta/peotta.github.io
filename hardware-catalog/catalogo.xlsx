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ab0e33855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b9d17bc26624da1"/>
    <x:sheet xmlns:r="http://schemas.openxmlformats.org/officeDocument/2006/relationships" name="Placas-mãe" sheetId="2" r:id="R7cd09453522c43b1"/>
    <x:sheet xmlns:r="http://schemas.openxmlformats.org/officeDocument/2006/relationships" name="Placas de vídeo" sheetId="3" r:id="R901844dcad994112"/>
    <x:sheet xmlns:r="http://schemas.openxmlformats.org/officeDocument/2006/relationships" name="Processadores" sheetId="4" r:id="Re3113fa1ec68448f"/>
    <x:sheet xmlns:r="http://schemas.openxmlformats.org/officeDocument/2006/relationships" name="Memórias" sheetId="5" r:id="Rac09dcc89f1a42b9"/>
    <x:sheet xmlns:r="http://schemas.openxmlformats.org/officeDocument/2006/relationships" name="Histórico de testes" sheetId="6" r:id="R3dd48c3710484c11"/>
    <x:sheet xmlns:r="http://schemas.openxmlformats.org/officeDocument/2006/relationships" name="Índice de fotos" sheetId="7" r:id="Rcf70e5fa6b5c4294"/>
    <x:sheet xmlns:r="http://schemas.openxmlformats.org/officeDocument/2006/relationships" name="Equipamentos" sheetId="8" r:id="R1d0cfdaa385a4a03"/>
    <x:sheet xmlns:r="http://schemas.openxmlformats.org/officeDocument/2006/relationships" name="Guia" sheetId="9" r:id="Rfe2711fe57f0436e"/>
    <x:sheet xmlns:r="http://schemas.openxmlformats.org/officeDocument/2006/relationships" name="Listas" sheetId="10" r:id="Rd7a4586511a3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B7C9D6"/>
      </x:top>
    </x:border>
    <x:border>
      <x:bottom style="thin">
        <x:color rgb="FFB7C9D6"/>
      </x:bottom>
    </x:border>
    <x:border>
      <x:top style="thin">
        <x:color rgb="FFB7C9D6"/>
      </x:top>
    </x:border>
    <x:border>
      <x:bottom style="thin">
        <x:color rgb="FFB7C9D6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/>
    <x:xf numFmtId="0" fontId="0" fillId="0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1" fillId="2" borderId="2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1" fillId="2" borderId="8" xfId="0" applyNumberFormat="1" applyFont="1" applyFill="1" applyBorder="1" applyAlignment="1">
      <x:alignment horizontal="left" vertical="center"/>
    </x:xf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left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14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top" wrapText="1"/>
    </x:xf>
    <x:xf numFmtId="0" fontId="2" fillId="3" borderId="16" xfId="0" applyNumberFormat="1" applyFont="1" applyFill="1" applyBorder="1" applyAlignment="1">
      <x:alignment horizontal="center" vertical="top" wrapText="1"/>
    </x:xf>
    <x:xf numFmtId="0" fontId="2" fillId="3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c2d1ae8ef4c4d" /><Relationship Type="http://schemas.openxmlformats.org/officeDocument/2006/relationships/theme" Target="/xl/theme/theme1.xml" Id="Rbc14168410f64e00" /><Relationship Type="http://schemas.openxmlformats.org/officeDocument/2006/relationships/sharedStrings" Target="/xl/sharedStrings.xml" Id="R06659d9a983c4cb5" /><Relationship Type="http://schemas.openxmlformats.org/officeDocument/2006/relationships/worksheet" Target="/xl/worksheets/sheet1.xml" Id="R8b9d17bc26624da1" /><Relationship Type="http://schemas.openxmlformats.org/officeDocument/2006/relationships/worksheet" Target="/xl/worksheets/sheet2.xml" Id="R7cd09453522c43b1" /><Relationship Type="http://schemas.openxmlformats.org/officeDocument/2006/relationships/worksheet" Target="/xl/worksheets/sheet3.xml" Id="R901844dcad994112" /><Relationship Type="http://schemas.openxmlformats.org/officeDocument/2006/relationships/worksheet" Target="/xl/worksheets/sheet4.xml" Id="Re3113fa1ec68448f" /><Relationship Type="http://schemas.openxmlformats.org/officeDocument/2006/relationships/worksheet" Target="/xl/worksheets/sheet5.xml" Id="Rac09dcc89f1a42b9" /><Relationship Type="http://schemas.openxmlformats.org/officeDocument/2006/relationships/worksheet" Target="/xl/worksheets/sheet6.xml" Id="R3dd48c3710484c11" /><Relationship Type="http://schemas.openxmlformats.org/officeDocument/2006/relationships/worksheet" Target="/xl/worksheets/sheet7.xml" Id="Rcf70e5fa6b5c4294" /><Relationship Type="http://schemas.openxmlformats.org/officeDocument/2006/relationships/worksheet" Target="/xl/worksheets/sheet8.xml" Id="R1d0cfdaa385a4a03" /><Relationship Type="http://schemas.openxmlformats.org/officeDocument/2006/relationships/worksheet" Target="/xl/worksheets/sheet9.xml" Id="Rfe2711fe57f0436e" /><Relationship Type="http://schemas.openxmlformats.org/officeDocument/2006/relationships/worksheet" Target="/xl/worksheets/sheet10.xml" Id="Rd7a4586511a345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3458462e4743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Situação das placas-mãe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3458462e4743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PlacasMae" displayName="TblPlacasMae" ref="A3:U11" headerRowCount="1">
  <x:tableColumns count="21">
    <x:tableColumn id="1" name="Código"/>
    <x:tableColumn id="2" name="Fabricante"/>
    <x:tableColumn id="3" name="Modelo"/>
    <x:tableColumn id="4" name="Identificação/Revisão"/>
    <x:tableColumn id="5" name="Formato"/>
    <x:tableColumn id="6" name="Socket"/>
    <x:tableColumn id="7" name="Chipset principal"/>
    <x:tableColumn id="8" name="Southbridge"/>
    <x:tableColumn id="9" name="Memória suportada"/>
    <x:tableColumn id="10" name="Slots de memória"/>
    <x:tableColumn id="11" name="Vídeo/expansão principal"/>
    <x:tableColumn id="12" name="Outros slots"/>
    <x:tableColumn id="13" name="Armazenamento"/>
    <x:tableColumn id="14" name="CPU instalada"/>
    <x:tableColumn id="15" name="RAM instalada"/>
    <x:tableColumn id="16" name="BIOS"/>
    <x:tableColumn id="17" name="Data BIOS"/>
    <x:tableColumn id="18" name="Sistema testado"/>
    <x:tableColumn id="19" name="Estado"/>
    <x:tableColumn id="20" name="Detalhamento técnico / observações"/>
    <x:tableColumn id="21" name="Fonte"/>
  </x:tableColumns>
  <x:tableStyleInfo name="TableStyleMedium2" showRowStripes="1"/>
</x:table>
</file>

<file path=xl/tables/table2.xml><?xml version="1.0" encoding="utf-8"?>
<x:table xmlns:x="http://schemas.openxmlformats.org/spreadsheetml/2006/main" id="2" name="TblGPUs" displayName="TblGPUs" ref="A3:W5" headerRowCount="1">
  <x:tableColumns count="23">
    <x:tableColumn id="1" name="Código"/>
    <x:tableColumn id="2" name="Fabricante da placa"/>
    <x:tableColumn id="3" name="Modelo"/>
    <x:tableColumn id="4" name="Fabricante GPU"/>
    <x:tableColumn id="5" name="Codinome"/>
    <x:tableColumn id="6" name="Revisão"/>
    <x:tableColumn id="7" name="Litografia"/>
    <x:tableColumn id="8" name="Interface"/>
    <x:tableColumn id="9" name="Memória"/>
    <x:tableColumn id="10" name="Tipo memória"/>
    <x:tableColumn id="11" name="Barramento memória"/>
    <x:tableColumn id="12" name="Clock GPU"/>
    <x:tableColumn id="13" name="Clock memória"/>
    <x:tableColumn id="14" name="ROPs"/>
    <x:tableColumn id="15" name="TMUs"/>
    <x:tableColumn id="16" name="Shaders"/>
    <x:tableColumn id="17" name="ReBAR"/>
    <x:tableColumn id="18" name="PCI ID"/>
    <x:tableColumn id="19" name="Saídas"/>
    <x:tableColumn id="20" name="Tipo"/>
    <x:tableColumn id="21" name="Estado"/>
    <x:tableColumn id="22" name="Observações"/>
    <x:tableColumn id="23" name="Fonte"/>
  </x:tableColumns>
  <x:tableStyleInfo name="TableStyleMedium2" showRowStripes="1"/>
</x:table>
</file>

<file path=xl/tables/table3.xml><?xml version="1.0" encoding="utf-8"?>
<x:table xmlns:x="http://schemas.openxmlformats.org/spreadsheetml/2006/main" id="3" name="TblCPUs" displayName="TblCPUs" ref="A3:R8" headerRowCount="1">
  <x:tableColumns count="18">
    <x:tableColumn id="1" name="Código"/>
    <x:tableColumn id="2" name="Fabricante"/>
    <x:tableColumn id="3" name="Modelo"/>
    <x:tableColumn id="4" name="Codinome"/>
    <x:tableColumn id="5" name="Socket"/>
    <x:tableColumn id="6" name="Litografia"/>
    <x:tableColumn id="7" name="Stepping"/>
    <x:tableColumn id="8" name="SSPEC"/>
    <x:tableColumn id="9" name="Núcleos"/>
    <x:tableColumn id="10" name="Threads"/>
    <x:tableColumn id="11" name="Clock base"/>
    <x:tableColumn id="12" name="FSB/Barramento"/>
    <x:tableColumn id="13" name="Multiplicador"/>
    <x:tableColumn id="14" name="Cache L2"/>
    <x:tableColumn id="15" name="TDP"/>
    <x:tableColumn id="16" name="Instruções/recursos observados"/>
    <x:tableColumn id="17" name="Placa associada"/>
    <x:tableColumn id="18" name="Estado"/>
  </x:tableColumns>
  <x:tableStyleInfo name="TableStyleMedium2" showRowStripes="1"/>
</x:table>
</file>

<file path=xl/tables/table4.xml><?xml version="1.0" encoding="utf-8"?>
<x:table xmlns:x="http://schemas.openxmlformats.org/spreadsheetml/2006/main" id="4" name="TblRAM" displayName="TblRAM" ref="A3:L10" headerRowCount="1">
  <x:tableColumns count="12">
    <x:tableColumn id="1" name="Código"/>
    <x:tableColumn id="2" name="Fabricante"/>
    <x:tableColumn id="3" name="Part number"/>
    <x:tableColumn id="4" name="Capacidade"/>
    <x:tableColumn id="5" name="Tipo"/>
    <x:tableColumn id="6" name="Classificação"/>
    <x:tableColumn id="7" name="Clock nominal"/>
    <x:tableColumn id="8" name="Tensão"/>
    <x:tableColumn id="9" name="ECC"/>
    <x:tableColumn id="10" name="Ranks"/>
    <x:tableColumn id="11" name="Placa associada"/>
    <x:tableColumn id="12" name="Observações/SPD"/>
  </x:tableColumns>
  <x:tableStyleInfo name="TableStyleMedium2" showRowStripes="1"/>
</x:table>
</file>

<file path=xl/tables/table5.xml><?xml version="1.0" encoding="utf-8"?>
<x:table xmlns:x="http://schemas.openxmlformats.org/spreadsheetml/2006/main" id="5" name="TblTestes" displayName="TblTestes" ref="A3:H8" headerRowCount="1">
  <x:tableColumns count="8">
    <x:tableColumn id="1" name="Código do teste"/>
    <x:tableColumn id="2" name="Item"/>
    <x:tableColumn id="3" name="Tipo de teste"/>
    <x:tableColumn id="4" name="Condição/cenário"/>
    <x:tableColumn id="5" name="Resultado"/>
    <x:tableColumn id="6" name="Sistema/ambiente"/>
    <x:tableColumn id="7" name="Conclusão"/>
    <x:tableColumn id="8" name="Fonte"/>
  </x:tableColumns>
  <x:tableStyleInfo name="TableStyleMedium2" showRowStripes="1"/>
</x:table>
</file>

<file path=xl/tables/table6.xml><?xml version="1.0" encoding="utf-8"?>
<x:table xmlns:x="http://schemas.openxmlformats.org/spreadsheetml/2006/main" id="6" name="TblFotos" displayName="TblFotos" ref="A3:D10" headerRowCount="1">
  <x:tableColumns count="4">
    <x:tableColumn id="1" name="Referência"/>
    <x:tableColumn id="2" name="Item"/>
    <x:tableColumn id="3" name="Equipamento"/>
    <x:tableColumn id="4" name="Conteúdo das imagens"/>
  </x:tableColumns>
  <x:tableStyleInfo name="TableStyleMedium2" showRowStripes="1"/>
</x:table>
</file>

<file path=xl/tables/table7.xml><?xml version="1.0" encoding="utf-8"?>
<x:table xmlns:x="http://schemas.openxmlformats.org/spreadsheetml/2006/main" id="7" name="TblEquipamentos" displayName="TblEquipamentos" ref="A3:J13" headerRowCount="1">
  <x:tableColumns count="10">
    <x:tableColumn id="1" name="Código"/>
    <x:tableColumn id="2" name="Categoria"/>
    <x:tableColumn id="3" name="Fabricante"/>
    <x:tableColumn id="4" name="Modelo"/>
    <x:tableColumn id="5" name="Plataforma"/>
    <x:tableColumn id="6" name="CPU/GPU principal"/>
    <x:tableColumn id="7" name="Memória"/>
    <x:tableColumn id="8" name="Estado"/>
    <x:tableColumn id="9" name="Fonte"/>
    <x:tableColumn id="10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062a92429145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baab31c40d4d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95736a020940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d2bb951ff74a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1feddb0a184b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ddf8a40c9d4a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70c8c3fb9e43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d518ffaf9a4b9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16" hidden="0" customWidth="1"/>
    <x:col min="5" max="5" width="16" hidden="0" customWidth="1"/>
    <x:col min="3" max="3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" t="str">
        <x:v>CATÁLOGO TÉCNICO — COLEÇÃO DE HARDWARE</x:v>
      </x:c>
    </x:row>
    <x:row r="3">
      <x:c r="A3" s="24" t="str">
        <x:v>Indicador</x:v>
      </x:c>
      <x:c r="B3" s="25" t="str">
        <x:v>Valor</x:v>
      </x:c>
      <x:c r="D3" s="24" t="str">
        <x:v>Estado das placas-mãe</x:v>
      </x:c>
      <x:c r="E3" s="25" t="str">
        <x:v>Quantidade</x:v>
      </x:c>
    </x:row>
    <x:row r="4">
      <x:c r="A4" s="26" t="str">
        <x:v>Placas-mãe cadastradas</x:v>
      </x:c>
      <x:c r="B4" s="27" t="n">
        <x:f>COUNTA('Placas-mãe'!A4:A100)</x:f>
        <x:v>8</x:v>
      </x:c>
      <x:c r="D4" s="26" t="str">
        <x:v>Funcionando</x:v>
      </x:c>
      <x:c r="E4" s="27" t="n">
        <x:f>COUNTIF('Placas-mãe'!S4:S100,"Funcionando")</x:f>
        <x:v>5</x:v>
      </x:c>
    </x:row>
    <x:row r="5">
      <x:c r="A5" s="26" t="str">
        <x:v>Placas de vídeo cadastradas</x:v>
      </x:c>
      <x:c r="B5" s="27" t="n">
        <x:f>COUNTA('Placas de vídeo'!A4:A100)</x:f>
        <x:v>2</x:v>
      </x:c>
      <x:c r="D5" s="26" t="str">
        <x:v>Liga, sem vídeo</x:v>
      </x:c>
      <x:c r="E5" s="27" t="n">
        <x:f>COUNTIF('Placas-mãe'!S4:S100,"Liga, sem vídeo")</x:f>
        <x:v>1</x:v>
      </x:c>
    </x:row>
    <x:row r="6">
      <x:c r="A6" s="26" t="str">
        <x:v>Processadores identificados</x:v>
      </x:c>
      <x:c r="B6" s="27" t="n">
        <x:f>COUNTA(Processadores!A4:A100)</x:f>
        <x:v>5</x:v>
      </x:c>
      <x:c r="D6" s="26" t="str">
        <x:v>Não testada</x:v>
      </x:c>
      <x:c r="E6" s="27" t="n">
        <x:f>COUNTIF('Placas-mãe'!S4:S100,"Não testada")</x:f>
        <x:v>2</x:v>
      </x:c>
    </x:row>
    <x:row r="7">
      <x:c r="A7" s="26" t="str">
        <x:v>Módulos de memória identificados</x:v>
      </x:c>
      <x:c r="B7" s="27" t="n">
        <x:f>COUNTA('Memórias'!A4:A100)</x:f>
        <x:v>7</x:v>
      </x:c>
      <x:c r="D7" s="26" t="str">
        <x:v>Outros</x:v>
      </x:c>
      <x:c r="E7" s="27" t="n">
        <x:f>E8-SUM(E4:E6)</x:f>
        <x:v>0</x:v>
      </x:c>
    </x:row>
    <x:row r="8">
      <x:c r="A8" s="28" t="str">
        <x:v>Itens funcionando/detectados</x:v>
      </x:c>
      <x:c r="B8" s="29" t="n">
        <x:f>COUNTIF('Placas-mãe'!S4:S100,"Funcionando")+COUNTA('Placas de vídeo'!A4:A100)</x:f>
        <x:v>7</x:v>
      </x:c>
      <x:c r="D8" s="28" t="str">
        <x:v>Total</x:v>
      </x:c>
      <x:c r="E8" s="29" t="n">
        <x:f>COUNTA('Placas-mãe'!A4:A100)</x:f>
        <x:v>8</x:v>
      </x:c>
    </x:row>
    <x:row r="11">
      <x:c r="A11" s="45" t="str">
        <x:v>Escopo e confiabilidade</x:v>
      </x:c>
      <x:c r="B11" s="46" t="str"/>
      <x:c r="C11" s="46" t="str"/>
      <x:c r="D11" s="46" t="str"/>
      <x:c r="E11" s="46" t="str"/>
      <x:c r="F11" s="46" t="str"/>
      <x:c r="G11" s="46" t="str"/>
      <x:c r="H11" s="47" t="str"/>
    </x:row>
    <x:row r="12">
      <x:c r="A12" s="48" t="str">
        <x:v>Fonte principal</x:v>
      </x:c>
      <x:c r="B12" s="49" t="str">
        <x:v>Documento “Anexos enviados – Cadastro de Hardware”, com 36 imagens.</x:v>
      </x:c>
      <x:c r="C12" s="49" t="str"/>
      <x:c r="D12" s="49" t="str"/>
      <x:c r="E12" s="49" t="str"/>
      <x:c r="F12" s="49" t="str"/>
      <x:c r="G12" s="49" t="str"/>
      <x:c r="H12" s="50" t="str"/>
    </x:row>
    <x:row r="13">
      <x:c r="A13" s="48" t="str">
        <x:v>Dados detalhados confirmados</x:v>
      </x:c>
      <x:c r="B13" s="49" t="str">
        <x:v>Dell OptiPlex 380; Dell OptiPlex 745; XFX GeForce 7300 LE; XFX Radeon HD 4350; ASUS P4S800D-X em fotos físicas.</x:v>
      </x:c>
      <x:c r="C13" s="49" t="str"/>
      <x:c r="D13" s="49" t="str"/>
      <x:c r="E13" s="49" t="str"/>
      <x:c r="F13" s="49" t="str"/>
      <x:c r="G13" s="49" t="str"/>
      <x:c r="H13" s="50" t="str"/>
    </x:row>
    <x:row r="14">
      <x:c r="A14" s="48" t="str">
        <x:v>Dados de cadastro anterior</x:v>
      </x:c>
      <x:c r="B14" s="49" t="str">
        <x:v>ECS G41T-M7 (duas unidades), Lenovo L-A780, ACC1800N-2C1P e CCE NM70-I.</x:v>
      </x:c>
      <x:c r="C14" s="49" t="str"/>
      <x:c r="D14" s="49" t="str"/>
      <x:c r="E14" s="49" t="str"/>
      <x:c r="F14" s="49" t="str"/>
      <x:c r="G14" s="49" t="str"/>
      <x:c r="H14" s="50" t="str"/>
    </x:row>
    <x:row r="15">
      <x:c r="A15" s="48" t="str">
        <x:v>Regra adotada</x:v>
      </x:c>
      <x:c r="B15" s="49" t="str">
        <x:v>Campos sem evidência visual ou registro anterior confiável foram marcados como “Não confirmado”; nenhuma lacuna foi preenchida por suposição.</x:v>
      </x:c>
      <x:c r="C15" s="49" t="str"/>
      <x:c r="D15" s="49" t="str"/>
      <x:c r="E15" s="49" t="str"/>
      <x:c r="F15" s="49" t="str"/>
      <x:c r="G15" s="49" t="str"/>
      <x:c r="H15" s="50" t="str"/>
    </x:row>
    <x:row r="16">
      <x:c r="A16" s="51" t="str">
        <x:v>Atualização</x:v>
      </x:c>
      <x:c r="B16" s="52" t="str">
        <x:v>Use as listas suspensas de estado e acrescente novos testes, componentes e referências de fotos nas abas correspondentes.</x:v>
      </x:c>
      <x:c r="C16" s="52" t="str"/>
      <x:c r="D16" s="52" t="str"/>
      <x:c r="E16" s="52" t="str"/>
      <x:c r="F16" s="52" t="str"/>
      <x:c r="G16" s="52" t="str"/>
      <x:c r="H16" s="53" t="str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  <x:drawing xmlns:r="http://schemas.openxmlformats.org/officeDocument/2006/relationships" r:id="R15062a9242914536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24" hidden="0" customWidth="1"/>
    <x:col min="4" max="4" width="23" hidden="0" customWidth="1"/>
    <x:col min="5" max="5" width="15" hidden="0" customWidth="1"/>
    <x:col min="6" max="6" width="15" hidden="0" customWidth="1"/>
    <x:col min="7" max="7" width="23" hidden="0" customWidth="1"/>
    <x:col min="8" max="8" width="18" hidden="0" customWidth="1"/>
    <x:col min="9" max="9" width="17" hidden="0" customWidth="1"/>
    <x:col min="10" max="10" width="15" hidden="0" customWidth="1"/>
    <x:col min="11" max="11" width="22" hidden="0" customWidth="1"/>
    <x:col min="12" max="12" width="18" hidden="0" customWidth="1"/>
    <x:col min="13" max="13" width="16" hidden="0" customWidth="1"/>
    <x:col min="14" max="14" width="24" hidden="0" customWidth="1"/>
    <x:col min="15" max="15" width="20" hidden="0" customWidth="1"/>
    <x:col min="16" max="16" width="12" hidden="0" customWidth="1"/>
    <x:col min="17" max="17" width="13" hidden="0" customWidth="1"/>
    <x:col min="18" max="18" width="27" hidden="0" customWidth="1"/>
    <x:col min="19" max="19" width="17" hidden="0" customWidth="1"/>
    <x:col min="20" max="20" width="58" hidden="0" customWidth="1"/>
    <x:col min="21" max="21" width="18" hidden="0" customWidth="1"/>
  </x:cols>
  <x:sheetData>
    <x:row r="1" ht="28" customHeight="1">
      <x:c r="A1" s="5" t="str">
        <x:v>PLACAS-MÃE — INVENTÁRIO TÉCNICO</x:v>
      </x:c>
    </x:row>
    <x:row r="3">
      <x:c r="A3" s="73" t="str">
        <x:v>Código</x:v>
      </x:c>
      <x:c r="B3" s="74" t="str">
        <x:v>Fabricante</x:v>
      </x:c>
      <x:c r="C3" s="74" t="str">
        <x:v>Modelo</x:v>
      </x:c>
      <x:c r="D3" s="74" t="str">
        <x:v>Identificação/Revisão</x:v>
      </x:c>
      <x:c r="E3" s="74" t="str">
        <x:v>Formato</x:v>
      </x:c>
      <x:c r="F3" s="74" t="str">
        <x:v>Socket</x:v>
      </x:c>
      <x:c r="G3" s="74" t="str">
        <x:v>Chipset principal</x:v>
      </x:c>
      <x:c r="H3" s="74" t="str">
        <x:v>Southbridge</x:v>
      </x:c>
      <x:c r="I3" s="74" t="str">
        <x:v>Memória suportada</x:v>
      </x:c>
      <x:c r="J3" s="74" t="str">
        <x:v>Slots de memória</x:v>
      </x:c>
      <x:c r="K3" s="74" t="str">
        <x:v>Vídeo/expansão principal</x:v>
      </x:c>
      <x:c r="L3" s="74" t="str">
        <x:v>Outros slots</x:v>
      </x:c>
      <x:c r="M3" s="74" t="str">
        <x:v>Armazenamento</x:v>
      </x:c>
      <x:c r="N3" s="74" t="str">
        <x:v>CPU instalada</x:v>
      </x:c>
      <x:c r="O3" s="74" t="str">
        <x:v>RAM instalada</x:v>
      </x:c>
      <x:c r="P3" s="74" t="str">
        <x:v>BIOS</x:v>
      </x:c>
      <x:c r="Q3" s="74" t="str">
        <x:v>Data BIOS</x:v>
      </x:c>
      <x:c r="R3" s="74" t="str">
        <x:v>Sistema testado</x:v>
      </x:c>
      <x:c r="S3" s="74" t="str">
        <x:v>Estado</x:v>
      </x:c>
      <x:c r="T3" s="74" t="str">
        <x:v>Detalhamento técnico / observações</x:v>
      </x:c>
      <x:c r="U3" s="75" t="str">
        <x:v>Fonte</x:v>
      </x:c>
    </x:row>
    <x:row r="4">
      <x:c r="A4" s="76" t="str">
        <x:v>MB-001</x:v>
      </x:c>
      <x:c r="B4" s="77" t="str">
        <x:v>ASUS</x:v>
      </x:c>
      <x:c r="C4" s="77" t="str">
        <x:v>P4S800D-X</x:v>
      </x:c>
      <x:c r="D4" s="77" t="str">
        <x:v>—</x:v>
      </x:c>
      <x:c r="E4" s="77" t="str">
        <x:v>ATX</x:v>
      </x:c>
      <x:c r="F4" s="77" t="str">
        <x:v>Socket 478</x:v>
      </x:c>
      <x:c r="G4" s="77" t="str">
        <x:v>SiS 648FX</x:v>
      </x:c>
      <x:c r="H4" s="77" t="str">
        <x:v>SiS 964</x:v>
      </x:c>
      <x:c r="I4" s="77" t="str">
        <x:v>DDR</x:v>
      </x:c>
      <x:c r="J4" s="77" t="str">
        <x:v>4 DIMM</x:v>
      </x:c>
      <x:c r="K4" s="77" t="str">
        <x:v>AGP 8x</x:v>
      </x:c>
      <x:c r="L4" s="77" t="str">
        <x:v>5 PCI</x:v>
      </x:c>
      <x:c r="M4" s="77" t="str">
        <x:v>IDE/SATA</x:v>
      </x:c>
      <x:c r="N4" s="77" t="str">
        <x:v>Não confirmado</x:v>
      </x:c>
      <x:c r="O4" s="77" t="str">
        <x:v>Não confirmado</x:v>
      </x:c>
      <x:c r="P4" s="77" t="str">
        <x:v>Não confirmado</x:v>
      </x:c>
      <x:c r="Q4" s="77" t="str">
        <x:v>Não confirmado</x:v>
      </x:c>
      <x:c r="R4" s="77" t="str">
        <x:v>Não confirmado</x:v>
      </x:c>
      <x:c r="S4" s="77" t="str">
        <x:v>Não testada</x:v>
      </x:c>
      <x:c r="T4" s="77" t="str">
        <x:v>Fotos físicas: anexos 1–3; chipset SiS 964 visível no anexo 2.</x:v>
      </x:c>
      <x:c r="U4" s="78" t="str">
        <x:v>Anexos 1–3</x:v>
      </x:c>
    </x:row>
    <x:row r="5">
      <x:c r="A5" s="76" t="str">
        <x:v>MB-002</x:v>
      </x:c>
      <x:c r="B5" s="77" t="str">
        <x:v>ECS</x:v>
      </x:c>
      <x:c r="C5" s="77" t="str">
        <x:v>G41T-M7 V1.0</x:v>
      </x:c>
      <x:c r="D5" s="77" t="str">
        <x:v>1ª unidade</x:v>
      </x:c>
      <x:c r="E5" s="77" t="str">
        <x:v>microATX</x:v>
      </x:c>
      <x:c r="F5" s="77" t="str">
        <x:v>LGA775</x:v>
      </x:c>
      <x:c r="G5" s="77" t="str">
        <x:v>Intel G41</x:v>
      </x:c>
      <x:c r="H5" s="77" t="str">
        <x:v>ICH7</x:v>
      </x:c>
      <x:c r="I5" s="77" t="str">
        <x:v>DDR3</x:v>
      </x:c>
      <x:c r="J5" s="77" t="str">
        <x:v>2 DIMM</x:v>
      </x:c>
      <x:c r="K5" s="77" t="str">
        <x:v>PCIe x16</x:v>
      </x:c>
      <x:c r="L5" s="77" t="str">
        <x:v>PCI/PCIe</x:v>
      </x:c>
      <x:c r="M5" s="77" t="str">
        <x:v>SATA</x:v>
      </x:c>
      <x:c r="N5" s="77" t="str">
        <x:v>Intel Core 2 Duo E8400</x:v>
      </x:c>
      <x:c r="O5" s="77" t="str">
        <x:v>4 GB DDR3</x:v>
      </x:c>
      <x:c r="P5" s="77" t="str">
        <x:v>Não confirmado</x:v>
      </x:c>
      <x:c r="Q5" s="77" t="str">
        <x:v>Não confirmado</x:v>
      </x:c>
      <x:c r="R5" s="77" t="str">
        <x:v>Não confirmado</x:v>
      </x:c>
      <x:c r="S5" s="77" t="str">
        <x:v>Funcionando</x:v>
      </x:c>
      <x:c r="T5" s="77" t="str">
        <x:v>Cadastro anterior do projeto; fotos/HWiNFO detalhado não aparecem no documento recebido.</x:v>
      </x:c>
      <x:c r="U5" s="78" t="str">
        <x:v>Cadastro anterior</x:v>
      </x:c>
    </x:row>
    <x:row r="6">
      <x:c r="A6" s="76" t="str">
        <x:v>MB-003</x:v>
      </x:c>
      <x:c r="B6" s="77" t="str">
        <x:v>ECS</x:v>
      </x:c>
      <x:c r="C6" s="77" t="str">
        <x:v>G41T-M7 V1.0</x:v>
      </x:c>
      <x:c r="D6" s="77" t="str">
        <x:v>2ª unidade</x:v>
      </x:c>
      <x:c r="E6" s="77" t="str">
        <x:v>microATX</x:v>
      </x:c>
      <x:c r="F6" s="77" t="str">
        <x:v>LGA775</x:v>
      </x:c>
      <x:c r="G6" s="77" t="str">
        <x:v>Intel G41</x:v>
      </x:c>
      <x:c r="H6" s="77" t="str">
        <x:v>ICH7</x:v>
      </x:c>
      <x:c r="I6" s="77" t="str">
        <x:v>DDR3</x:v>
      </x:c>
      <x:c r="J6" s="77" t="str">
        <x:v>2 DIMM</x:v>
      </x:c>
      <x:c r="K6" s="77" t="str">
        <x:v>PCIe x16</x:v>
      </x:c>
      <x:c r="L6" s="77" t="str">
        <x:v>PCI/PCIe</x:v>
      </x:c>
      <x:c r="M6" s="77" t="str">
        <x:v>SATA</x:v>
      </x:c>
      <x:c r="N6" s="77" t="str">
        <x:v>Não confirmado</x:v>
      </x:c>
      <x:c r="O6" s="77" t="str">
        <x:v>Não confirmado</x:v>
      </x:c>
      <x:c r="P6" s="77" t="str">
        <x:v>Não confirmado</x:v>
      </x:c>
      <x:c r="Q6" s="77" t="str">
        <x:v>Não confirmado</x:v>
      </x:c>
      <x:c r="R6" s="77" t="str">
        <x:v>Não confirmado</x:v>
      </x:c>
      <x:c r="S6" s="77" t="str">
        <x:v>Liga, sem vídeo</x:v>
      </x:c>
      <x:c r="T6" s="77" t="str">
        <x:v>Segunda unidade física; não deve ser confundida com a MB-002.</x:v>
      </x:c>
      <x:c r="U6" s="78" t="str">
        <x:v>Cadastro anterior</x:v>
      </x:c>
    </x:row>
    <x:row r="7">
      <x:c r="A7" s="76" t="str">
        <x:v>MB-004</x:v>
      </x:c>
      <x:c r="B7" s="77" t="str">
        <x:v>Dell</x:v>
      </x:c>
      <x:c r="C7" s="77" t="str">
        <x:v>OptiPlex 380</x:v>
      </x:c>
      <x:c r="D7" s="77" t="str">
        <x:v>DP/N 0HN7XN</x:v>
      </x:c>
      <x:c r="E7" s="77" t="str">
        <x:v>Proprietário Dell</x:v>
      </x:c>
      <x:c r="F7" s="77" t="str">
        <x:v>LGA775</x:v>
      </x:c>
      <x:c r="G7" s="77" t="str">
        <x:v>Intel G41 (Eaglelake)</x:v>
      </x:c>
      <x:c r="H7" s="77" t="str">
        <x:v>ICH7</x:v>
      </x:c>
      <x:c r="I7" s="77" t="str">
        <x:v>DDR3</x:v>
      </x:c>
      <x:c r="J7" s="77" t="str">
        <x:v>2 DIMM</x:v>
      </x:c>
      <x:c r="K7" s="77" t="str">
        <x:v>PCIe 2.0 x16</x:v>
      </x:c>
      <x:c r="L7" s="77" t="str">
        <x:v>2 PCI + PCIe x1</x:v>
      </x:c>
      <x:c r="M7" s="77" t="str">
        <x:v>SATA</x:v>
      </x:c>
      <x:c r="N7" s="77" t="str">
        <x:v>Intel Core 2 Duo E7500</x:v>
      </x:c>
      <x:c r="O7" s="77" t="str">
        <x:v>4 GB DDR3 dual-channel</x:v>
      </x:c>
      <x:c r="P7" s="77" t="str">
        <x:v>A05</x:v>
      </x:c>
      <x:c r="Q7" s="77" t="str">
        <x:v>24/02/2011</x:v>
      </x:c>
      <x:c r="R7" s="77" t="str">
        <x:v>Windows 11 Enterprise x64 22H2, build 22621.1483</x:v>
      </x:c>
      <x:c r="S7" s="77" t="str">
        <x:v>Funcionando</x:v>
      </x:c>
      <x:c r="T7" s="77" t="str">
        <x:v>HWiNFO: CPU E7500, 45 nm, stepping R0, Wolfdale-M, SSPEC SLGTE, 2c/2t, 2,93 GHz, L2 3 MB, TDP 65 W. Memória Micron 8JTF25664AZ-1G4D1, 2 GB por módulo, DDR3-1332/PC3-10700, 1,50 V. GPU integrada Intel GMA 4500.</x:v>
      </x:c>
      <x:c r="U7" s="78" t="str">
        <x:v>Anexos 4–8 e 9–14</x:v>
      </x:c>
    </x:row>
    <x:row r="8">
      <x:c r="A8" s="76" t="str">
        <x:v>MB-005</x:v>
      </x:c>
      <x:c r="B8" s="77" t="str">
        <x:v>Lenovo</x:v>
      </x:c>
      <x:c r="C8" s="77" t="str">
        <x:v>L-A780 Rev.1 / M2RS780MH</x:v>
      </x:c>
      <x:c r="D8" s="77" t="str">
        <x:v>Rev.1</x:v>
      </x:c>
      <x:c r="E8" s="77" t="str">
        <x:v>microATX</x:v>
      </x:c>
      <x:c r="F8" s="77" t="str">
        <x:v>AM2/AM2+</x:v>
      </x:c>
      <x:c r="G8" s="77" t="str">
        <x:v>AMD RS780</x:v>
      </x:c>
      <x:c r="H8" s="77" t="str">
        <x:v>SB700</x:v>
      </x:c>
      <x:c r="I8" s="77" t="str">
        <x:v>DDR2</x:v>
      </x:c>
      <x:c r="J8" s="77" t="str">
        <x:v>Não confirmado</x:v>
      </x:c>
      <x:c r="K8" s="77" t="str">
        <x:v>PCIe x16</x:v>
      </x:c>
      <x:c r="L8" s="77" t="str">
        <x:v>PCI/PCIe</x:v>
      </x:c>
      <x:c r="M8" s="77" t="str">
        <x:v>SATA</x:v>
      </x:c>
      <x:c r="N8" s="77" t="str">
        <x:v>Não confirmado</x:v>
      </x:c>
      <x:c r="O8" s="77" t="str">
        <x:v>Não confirmado</x:v>
      </x:c>
      <x:c r="P8" s="77" t="str">
        <x:v>Não confirmado</x:v>
      </x:c>
      <x:c r="Q8" s="77" t="str">
        <x:v>Não confirmado</x:v>
      </x:c>
      <x:c r="R8" s="77" t="str">
        <x:v>Não confirmado</x:v>
      </x:c>
      <x:c r="S8" s="77" t="str">
        <x:v>Não testada</x:v>
      </x:c>
      <x:c r="T8" s="77" t="str">
        <x:v>Cadastro anterior do projeto; sem HWiNFO identificável no documento recebido.</x:v>
      </x:c>
      <x:c r="U8" s="78" t="str">
        <x:v>Cadastro anterior</x:v>
      </x:c>
    </x:row>
    <x:row r="9">
      <x:c r="A9" s="76" t="str">
        <x:v>MB-006</x:v>
      </x:c>
      <x:c r="B9" s="77" t="str">
        <x:v>ACC</x:v>
      </x:c>
      <x:c r="C9" s="77" t="str">
        <x:v>ACC1800N-2C1P</x:v>
      </x:c>
      <x:c r="D9" s="77" t="str">
        <x:v>—</x:v>
      </x:c>
      <x:c r="E9" s="77" t="str">
        <x:v>Mini-ITX</x:v>
      </x:c>
      <x:c r="F9" s="77" t="str">
        <x:v>BGA integrado</x:v>
      </x:c>
      <x:c r="G9" s="77" t="str">
        <x:v>Intel Bay Trail-D</x:v>
      </x:c>
      <x:c r="H9" s="77" t="str">
        <x:v>Integrado</x:v>
      </x:c>
      <x:c r="I9" s="77" t="str">
        <x:v>DDR3L</x:v>
      </x:c>
      <x:c r="J9" s="77" t="str">
        <x:v>Não confirmado</x:v>
      </x:c>
      <x:c r="K9" s="77" t="str">
        <x:v>PCIe/mini PCIe conforme placa</x:v>
      </x:c>
      <x:c r="L9" s="77" t="str">
        <x:v>Não confirmado</x:v>
      </x:c>
      <x:c r="M9" s="77" t="str">
        <x:v>SATA</x:v>
      </x:c>
      <x:c r="N9" s="77" t="str">
        <x:v>Intel Celeron J1800</x:v>
      </x:c>
      <x:c r="O9" s="77" t="str">
        <x:v>4 GB Kingston DDR3L</x:v>
      </x:c>
      <x:c r="P9" s="77" t="str">
        <x:v>F2 AZ</x:v>
      </x:c>
      <x:c r="Q9" s="77" t="str">
        <x:v>06/03/2015</x:v>
      </x:c>
      <x:c r="R9" s="77" t="str">
        <x:v>Windows 10 Enterprise</x:v>
      </x:c>
      <x:c r="S9" s="77" t="str">
        <x:v>Funcionando</x:v>
      </x:c>
      <x:c r="T9" s="77" t="str">
        <x:v>Cadastro anterior do projeto; CPU integrada à placa.</x:v>
      </x:c>
      <x:c r="U9" s="78" t="str">
        <x:v>Cadastro anterior</x:v>
      </x:c>
    </x:row>
    <x:row r="10">
      <x:c r="A10" s="76" t="str">
        <x:v>MB-007</x:v>
      </x:c>
      <x:c r="B10" s="77" t="str">
        <x:v>CCE</x:v>
      </x:c>
      <x:c r="C10" s="77" t="str">
        <x:v>NM70-I V1.0</x:v>
      </x:c>
      <x:c r="D10" s="77" t="str">
        <x:v>V1.0</x:v>
      </x:c>
      <x:c r="E10" s="77" t="str">
        <x:v>Mini-ITX</x:v>
      </x:c>
      <x:c r="F10" s="77" t="str">
        <x:v>BGA integrado</x:v>
      </x:c>
      <x:c r="G10" s="77" t="str">
        <x:v>Intel NM70</x:v>
      </x:c>
      <x:c r="H10" s="77" t="str">
        <x:v>Integrado</x:v>
      </x:c>
      <x:c r="I10" s="77" t="str">
        <x:v>DDR3L</x:v>
      </x:c>
      <x:c r="J10" s="77" t="str">
        <x:v>Não confirmado</x:v>
      </x:c>
      <x:c r="K10" s="77" t="str">
        <x:v>PCIe conforme placa</x:v>
      </x:c>
      <x:c r="L10" s="77" t="str">
        <x:v>Não confirmado</x:v>
      </x:c>
      <x:c r="M10" s="77" t="str">
        <x:v>SATA</x:v>
      </x:c>
      <x:c r="N10" s="77" t="str">
        <x:v>Intel Celeron 847</x:v>
      </x:c>
      <x:c r="O10" s="77" t="str">
        <x:v>4 GB Kingston DDR3L</x:v>
      </x:c>
      <x:c r="P10" s="77" t="str">
        <x:v>UEFI</x:v>
      </x:c>
      <x:c r="Q10" s="77" t="str">
        <x:v>30/11/2012</x:v>
      </x:c>
      <x:c r="R10" s="77" t="str">
        <x:v>Windows 10 Enterprise</x:v>
      </x:c>
      <x:c r="S10" s="77" t="str">
        <x:v>Funcionando</x:v>
      </x:c>
      <x:c r="T10" s="77" t="str">
        <x:v>Cadastro anterior do projeto; CPU integrada à placa.</x:v>
      </x:c>
      <x:c r="U10" s="78" t="str">
        <x:v>Cadastro anterior</x:v>
      </x:c>
    </x:row>
    <x:row r="11">
      <x:c r="A11" s="79" t="str">
        <x:v>MB-008</x:v>
      </x:c>
      <x:c r="B11" s="80" t="str">
        <x:v>Dell</x:v>
      </x:c>
      <x:c r="C11" s="80" t="str">
        <x:v>OptiPlex 745</x:v>
      </x:c>
      <x:c r="D11" s="80" t="str">
        <x:v>0KT234 A01 / PCB DP/N UX762</x:v>
      </x:c>
      <x:c r="E11" s="80" t="str">
        <x:v>Proprietário Dell</x:v>
      </x:c>
      <x:c r="F11" s="80" t="str">
        <x:v>LGA775</x:v>
      </x:c>
      <x:c r="G11" s="80" t="str">
        <x:v>Intel Q965 (Broadwater-GC) rev. C1</x:v>
      </x:c>
      <x:c r="H11" s="80" t="str">
        <x:v>ICH8/R rev. B0</x:v>
      </x:c>
      <x:c r="I11" s="80" t="str">
        <x:v>DDR2</x:v>
      </x:c>
      <x:c r="J11" s="80" t="str">
        <x:v>4 DIMM</x:v>
      </x:c>
      <x:c r="K11" s="80" t="str">
        <x:v>PCIe 1.0 x16</x:v>
      </x:c>
      <x:c r="L11" s="80" t="str">
        <x:v>2 PCI + PCIe</x:v>
      </x:c>
      <x:c r="M11" s="80" t="str">
        <x:v>SATA</x:v>
      </x:c>
      <x:c r="N11" s="80" t="str">
        <x:v>Intel Pentium Dual-Core E2160</x:v>
      </x:c>
      <x:c r="O11" s="80" t="str">
        <x:v>2 GB DDR2</x:v>
      </x:c>
      <x:c r="P11" s="80" t="str">
        <x:v>2.3.1</x:v>
      </x:c>
      <x:c r="Q11" s="80" t="str">
        <x:v>21/05/2007</x:v>
      </x:c>
      <x:c r="R11" s="80" t="str">
        <x:v>Windows 10 Enterprise x64, build 19041.4713</x:v>
      </x:c>
      <x:c r="S11" s="80" t="str">
        <x:v>Funcionando</x:v>
      </x:c>
      <x:c r="T11" s="80" t="str">
        <x:v>CPU E2160: Conroe-1M, stepping M0, SSPEC SLA8Z, 65 nm, 2c/2t, 1,80 GHz, FSB 800, L2 1 MB, TDP 65 W. RAM: Samsung M3 78T2953EZ3-CE6 1 GB PC2-5300 + Smart Modular SG564288FG8N6KF-Z1 1 GB PC2-6400. Vídeo integrado Intel GMA 3000. Placa física também mostra DP/N BR-0CT103-48105-76G-0770 Rev. A04 em outra etiqueta; manter ambas as identificações até reconciliação física.</x:v>
      </x:c>
      <x:c r="U11" s="81" t="str">
        <x:v>Anexos 15–30</x:v>
      </x:c>
    </x:row>
  </x:sheetData>
  <x:mergeCells>
    <x:mergeCell ref="A1:U1"/>
  </x:mergeCells>
  <x:conditionalFormatting sqref="S4:S200">
    <x:cfRule type="expression" dxfId="0" priority="1">
      <x:formula>S4="Funcionando"</x:formula>
    </x:cfRule>
    <x:cfRule type="expression" dxfId="1" priority="2">
      <x:formula>S4="Liga, sem vídeo"</x:formula>
    </x:cfRule>
    <x:cfRule type="expression" dxfId="2" priority="3">
      <x:formula>S4="Não testada"</x:formula>
    </x:cfRule>
  </x:conditionalFormatting>
  <x:dataValidations count="1">
    <x:dataValidation type="list" sqref="S4:S200">
      <x:formula1>Listas!$A$2:$A$7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baab31c40d4d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16" hidden="0" customWidth="1"/>
    <x:col min="5" max="5" width="17" hidden="0" customWidth="1"/>
    <x:col min="6" max="6" width="15" hidden="0" customWidth="1"/>
    <x:col min="7" max="7" width="12" hidden="0" customWidth="1"/>
    <x:col min="8" max="8" width="30" hidden="0" customWidth="1"/>
    <x:col min="9" max="9" width="13" hidden="0" customWidth="1"/>
    <x:col min="10" max="10" width="22" hidden="0" customWidth="1"/>
    <x:col min="11" max="11" width="18" hidden="0" customWidth="1"/>
    <x:col min="12" max="12" width="17" hidden="0" customWidth="1"/>
    <x:col min="13" max="13" width="25" hidden="0" customWidth="1"/>
    <x:col min="14" max="14" width="10" hidden="0" customWidth="1"/>
    <x:col min="15" max="15" width="10" hidden="0" customWidth="1"/>
    <x:col min="16" max="16" width="18" hidden="0" customWidth="1"/>
    <x:col min="17" max="17" width="15" hidden="0" customWidth="1"/>
    <x:col min="18" max="18" width="25" hidden="0" customWidth="1"/>
    <x:col min="19" max="19" width="20" hidden="0" customWidth="1"/>
    <x:col min="20" max="20" width="13" hidden="0" customWidth="1"/>
    <x:col min="21" max="21" width="22" hidden="0" customWidth="1"/>
    <x:col min="22" max="22" width="45" hidden="0" customWidth="1"/>
    <x:col min="23" max="23" width="16" hidden="0" customWidth="1"/>
  </x:cols>
  <x:sheetData>
    <x:row r="1" ht="28" customHeight="1">
      <x:c r="A1" s="5" t="str">
        <x:v>PLACAS DE VÍDEO — INVENTÁRIO TÉCNICO</x:v>
      </x:c>
    </x:row>
    <x:row r="3">
      <x:c r="A3" s="73" t="str">
        <x:v>Código</x:v>
      </x:c>
      <x:c r="B3" s="74" t="str">
        <x:v>Fabricante da placa</x:v>
      </x:c>
      <x:c r="C3" s="74" t="str">
        <x:v>Modelo</x:v>
      </x:c>
      <x:c r="D3" s="74" t="str">
        <x:v>Fabricante GPU</x:v>
      </x:c>
      <x:c r="E3" s="74" t="str">
        <x:v>Codinome</x:v>
      </x:c>
      <x:c r="F3" s="74" t="str">
        <x:v>Revisão</x:v>
      </x:c>
      <x:c r="G3" s="74" t="str">
        <x:v>Litografia</x:v>
      </x:c>
      <x:c r="H3" s="74" t="str">
        <x:v>Interface</x:v>
      </x:c>
      <x:c r="I3" s="74" t="str">
        <x:v>Memória</x:v>
      </x:c>
      <x:c r="J3" s="74" t="str">
        <x:v>Tipo memória</x:v>
      </x:c>
      <x:c r="K3" s="74" t="str">
        <x:v>Barramento memória</x:v>
      </x:c>
      <x:c r="L3" s="74" t="str">
        <x:v>Clock GPU</x:v>
      </x:c>
      <x:c r="M3" s="74" t="str">
        <x:v>Clock memória</x:v>
      </x:c>
      <x:c r="N3" s="74" t="str">
        <x:v>ROPs</x:v>
      </x:c>
      <x:c r="O3" s="74" t="str">
        <x:v>TMUs</x:v>
      </x:c>
      <x:c r="P3" s="74" t="str">
        <x:v>Shaders</x:v>
      </x:c>
      <x:c r="Q3" s="74" t="str">
        <x:v>ReBAR</x:v>
      </x:c>
      <x:c r="R3" s="74" t="str">
        <x:v>PCI ID</x:v>
      </x:c>
      <x:c r="S3" s="74" t="str">
        <x:v>Saídas</x:v>
      </x:c>
      <x:c r="T3" s="74" t="str">
        <x:v>Tipo</x:v>
      </x:c>
      <x:c r="U3" s="74" t="str">
        <x:v>Estado</x:v>
      </x:c>
      <x:c r="V3" s="74" t="str">
        <x:v>Observações</x:v>
      </x:c>
      <x:c r="W3" s="75" t="str">
        <x:v>Fonte</x:v>
      </x:c>
    </x:row>
    <x:row r="4">
      <x:c r="A4" s="76" t="str">
        <x:v>VG-001</x:v>
      </x:c>
      <x:c r="B4" s="77" t="str">
        <x:v>XFX Pine Group Inc.</x:v>
      </x:c>
      <x:c r="C4" s="77" t="str">
        <x:v>GeForce 7300 LE</x:v>
      </x:c>
      <x:c r="D4" s="77" t="str">
        <x:v>NVIDIA</x:v>
      </x:c>
      <x:c r="E4" s="77" t="str">
        <x:v>G72</x:v>
      </x:c>
      <x:c r="F4" s="77" t="str">
        <x:v>B1 / chipset A1</x:v>
      </x:c>
      <x:c r="G4" s="77" t="str">
        <x:v>90 nm</x:v>
      </x:c>
      <x:c r="H4" s="77" t="str">
        <x:v>PCIe 1.1 x16 (2,5 GT/s), operando x16</x:v>
      </x:c>
      <x:c r="I4" s="77" t="str">
        <x:v>256 MB</x:v>
      </x:c>
      <x:c r="J4" s="77" t="str">
        <x:v>DDR2 SDRAM</x:v>
      </x:c>
      <x:c r="K4" s="77" t="str">
        <x:v>64-bit</x:v>
      </x:c>
      <x:c r="L4" s="77" t="str">
        <x:v>199,3 MHz</x:v>
      </x:c>
      <x:c r="M4" s="77" t="str">
        <x:v>168,8 MHz (337,5 MHz efetivos)</x:v>
      </x:c>
      <x:c r="N4" s="77" t="str">
        <x:v>4</x:v>
      </x:c>
      <x:c r="O4" s="77" t="str">
        <x:v>—</x:v>
      </x:c>
      <x:c r="P4" s="77" t="str">
        <x:v>3 vertex shaders</x:v>
      </x:c>
      <x:c r="Q4" s="77" t="str">
        <x:v>Não suportado</x:v>
      </x:c>
      <x:c r="R4" s="77" t="str">
        <x:v>PCIVEN_10DE&amp;DEV_01D1</x:v>
      </x:c>
      <x:c r="S4" s="77" t="str">
        <x:v>VGA + DVI (conforme cadastro/fotos anteriores)</x:v>
      </x:c>
      <x:c r="T4" s="77" t="str">
        <x:v>Discreta</x:v>
      </x:c>
      <x:c r="U4" s="77" t="str">
        <x:v>Funcionando / detectada</x:v>
      </x:c>
      <x:c r="V4" s="77" t="str">
        <x:v>Testada no Dell OptiPlex 745 com Windows 10 Enterprise; fabricante da placa XFX.</x:v>
      </x:c>
      <x:c r="W4" s="78" t="str">
        <x:v>Anexos 31–33</x:v>
      </x:c>
    </x:row>
    <x:row r="5">
      <x:c r="A5" s="79" t="str">
        <x:v>VG-002</x:v>
      </x:c>
      <x:c r="B5" s="80" t="str">
        <x:v>XFX Pine Group Inc.</x:v>
      </x:c>
      <x:c r="C5" s="80" t="str">
        <x:v>Radeon HD 4350</x:v>
      </x:c>
      <x:c r="D5" s="80" t="str">
        <x:v>AMD/ATI</x:v>
      </x:c>
      <x:c r="E5" s="80" t="str">
        <x:v>RV710 / Luigi</x:v>
      </x:c>
      <x:c r="F5" s="80" t="str">
        <x:v>—</x:v>
      </x:c>
      <x:c r="G5" s="80" t="str">
        <x:v>55 nm</x:v>
      </x:c>
      <x:c r="H5" s="80" t="str">
        <x:v>PCIe 2.0 x16 (5,0 GT/s), operando x16 a 2,5 GT/s</x:v>
      </x:c>
      <x:c r="I5" s="80" t="str">
        <x:v>1 GB</x:v>
      </x:c>
      <x:c r="J5" s="80" t="str">
        <x:v>DDR2 SDRAM (Samsung indicado parcialmente)</x:v>
      </x:c>
      <x:c r="K5" s="80" t="str">
        <x:v>64-bit</x:v>
      </x:c>
      <x:c r="L5" s="80" t="str">
        <x:v>599,1 MHz</x:v>
      </x:c>
      <x:c r="M5" s="80" t="str">
        <x:v>396,0 MHz (792,0 MHz efetivos)</x:v>
      </x:c>
      <x:c r="N5" s="80" t="str">
        <x:v>2</x:v>
      </x:c>
      <x:c r="O5" s="80" t="str">
        <x:v>8</x:v>
      </x:c>
      <x:c r="P5" s="80" t="str">
        <x:v>80 unified shaders</x:v>
      </x:c>
      <x:c r="Q5" s="80" t="str">
        <x:v>Não suportado</x:v>
      </x:c>
      <x:c r="R5" s="80" t="str">
        <x:v>PCIVEN_1002&amp;DEV_954F</x:v>
      </x:c>
      <x:c r="S5" s="80" t="str">
        <x:v>VGA + DVI (conforme cadastro/fotos anteriores)</x:v>
      </x:c>
      <x:c r="T5" s="80" t="str">
        <x:v>Discreta</x:v>
      </x:c>
      <x:c r="U5" s="80" t="str">
        <x:v>Funcionando / detectada</x:v>
      </x:c>
      <x:c r="V5" s="80" t="str">
        <x:v>VBIOS 011.021.000.007.000000; testada no Windows 10 Enterprise.</x:v>
      </x:c>
      <x:c r="W5" s="81" t="str">
        <x:v>Anexos 34–36</x:v>
      </x:c>
    </x:row>
  </x:sheetData>
  <x:mergeCells>
    <x:mergeCell ref="A1:W1"/>
  </x:mergeCells>
  <x:conditionalFormatting sqref="U4:U200">
    <x:cfRule type="expression" dxfId="3" priority="1">
      <x:formula>ISNUMBER(SEARCH("Funcionando",U4))</x:formula>
    </x:cfRule>
  </x:conditionalFormatting>
  <x:dataValidations count="1">
    <x:dataValidation type="list" sqref="U4:U200">
      <x:formula1>Listas!$A$2:$A$7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95736a020940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23" hidden="0" customWidth="1"/>
    <x:col min="4" max="4" width="17" hidden="0" customWidth="1"/>
    <x:col min="5" max="5" width="13" hidden="0" customWidth="1"/>
    <x:col min="6" max="6" width="12" hidden="0" customWidth="1"/>
    <x:col min="7" max="7" width="11" hidden="0" customWidth="1"/>
    <x:col min="8" max="8" width="12" hidden="0" customWidth="1"/>
    <x:col min="9" max="9" width="10" hidden="0" customWidth="1"/>
    <x:col min="10" max="10" width="10" hidden="0" customWidth="1"/>
    <x:col min="11" max="11" width="14" hidden="0" customWidth="1"/>
    <x:col min="12" max="12" width="17" hidden="0" customWidth="1"/>
    <x:col min="13" max="13" width="15" hidden="0" customWidth="1"/>
    <x:col min="14" max="14" width="13" hidden="0" customWidth="1"/>
    <x:col min="15" max="15" width="10" hidden="0" customWidth="1"/>
    <x:col min="16" max="16" width="48" hidden="0" customWidth="1"/>
    <x:col min="17" max="17" width="16" hidden="0" customWidth="1"/>
    <x:col min="18" max="18" width="16" hidden="0" customWidth="1"/>
  </x:cols>
  <x:sheetData>
    <x:row r="1" ht="28" customHeight="1">
      <x:c r="A1" s="5" t="str">
        <x:v>PROCESSADORES — INVENTÁRIO TÉCNICO</x:v>
      </x:c>
    </x:row>
    <x:row r="3">
      <x:c r="A3" s="73" t="str">
        <x:v>Código</x:v>
      </x:c>
      <x:c r="B3" s="74" t="str">
        <x:v>Fabricante</x:v>
      </x:c>
      <x:c r="C3" s="74" t="str">
        <x:v>Modelo</x:v>
      </x:c>
      <x:c r="D3" s="74" t="str">
        <x:v>Codinome</x:v>
      </x:c>
      <x:c r="E3" s="74" t="str">
        <x:v>Socket</x:v>
      </x:c>
      <x:c r="F3" s="74" t="str">
        <x:v>Litografia</x:v>
      </x:c>
      <x:c r="G3" s="74" t="str">
        <x:v>Stepping</x:v>
      </x:c>
      <x:c r="H3" s="74" t="str">
        <x:v>SSPEC</x:v>
      </x:c>
      <x:c r="I3" s="74" t="str">
        <x:v>Núcleos</x:v>
      </x:c>
      <x:c r="J3" s="74" t="str">
        <x:v>Threads</x:v>
      </x:c>
      <x:c r="K3" s="74" t="str">
        <x:v>Clock base</x:v>
      </x:c>
      <x:c r="L3" s="74" t="str">
        <x:v>FSB/Barramento</x:v>
      </x:c>
      <x:c r="M3" s="74" t="str">
        <x:v>Multiplicador</x:v>
      </x:c>
      <x:c r="N3" s="74" t="str">
        <x:v>Cache L2</x:v>
      </x:c>
      <x:c r="O3" s="74" t="str">
        <x:v>TDP</x:v>
      </x:c>
      <x:c r="P3" s="74" t="str">
        <x:v>Instruções/recursos observados</x:v>
      </x:c>
      <x:c r="Q3" s="74" t="str">
        <x:v>Placa associada</x:v>
      </x:c>
      <x:c r="R3" s="75" t="str">
        <x:v>Estado</x:v>
      </x:c>
    </x:row>
    <x:row r="4">
      <x:c r="A4" s="76" t="str">
        <x:v>CPU-001</x:v>
      </x:c>
      <x:c r="B4" s="77" t="str">
        <x:v>Intel</x:v>
      </x:c>
      <x:c r="C4" s="77" t="str">
        <x:v>Core 2 Duo E7500</x:v>
      </x:c>
      <x:c r="D4" s="77" t="str">
        <x:v>Wolfdale-M</x:v>
      </x:c>
      <x:c r="E4" s="77" t="str">
        <x:v>LGA775</x:v>
      </x:c>
      <x:c r="F4" s="77" t="str">
        <x:v>45 nm</x:v>
      </x:c>
      <x:c r="G4" s="77" t="str">
        <x:v>R0</x:v>
      </x:c>
      <x:c r="H4" s="77" t="str">
        <x:v>SLGTE</x:v>
      </x:c>
      <x:c r="I4" s="77" t="str">
        <x:v>2</x:v>
      </x:c>
      <x:c r="J4" s="77" t="str">
        <x:v>2</x:v>
      </x:c>
      <x:c r="K4" s="77" t="str">
        <x:v>2,93 GHz</x:v>
      </x:c>
      <x:c r="L4" s="77" t="str">
        <x:v>266,7 MHz</x:v>
      </x:c>
      <x:c r="M4" s="77" t="str">
        <x:v>x11</x:v>
      </x:c>
      <x:c r="N4" s="77" t="str">
        <x:v>3 MB</x:v>
      </x:c>
      <x:c r="O4" s="77" t="str">
        <x:v>65 W</x:v>
      </x:c>
      <x:c r="P4" s="77" t="str">
        <x:v>EM64T, EIST, MMX, SSE, SSE2, SSE3, SSSE3, SSE4.1, DEP, VMX</x:v>
      </x:c>
      <x:c r="Q4" s="77" t="str">
        <x:v>MB-004</x:v>
      </x:c>
      <x:c r="R4" s="78" t="str">
        <x:v>Funcionando</x:v>
      </x:c>
    </x:row>
    <x:row r="5">
      <x:c r="A5" s="76" t="str">
        <x:v>CPU-002</x:v>
      </x:c>
      <x:c r="B5" s="77" t="str">
        <x:v>Intel</x:v>
      </x:c>
      <x:c r="C5" s="77" t="str">
        <x:v>Pentium Dual-Core E2160</x:v>
      </x:c>
      <x:c r="D5" s="77" t="str">
        <x:v>Conroe-1M</x:v>
      </x:c>
      <x:c r="E5" s="77" t="str">
        <x:v>LGA775</x:v>
      </x:c>
      <x:c r="F5" s="77" t="str">
        <x:v>65 nm</x:v>
      </x:c>
      <x:c r="G5" s="77" t="str">
        <x:v>M0</x:v>
      </x:c>
      <x:c r="H5" s="77" t="str">
        <x:v>SLA8Z</x:v>
      </x:c>
      <x:c r="I5" s="77" t="str">
        <x:v>2</x:v>
      </x:c>
      <x:c r="J5" s="77" t="str">
        <x:v>2</x:v>
      </x:c>
      <x:c r="K5" s="77" t="str">
        <x:v>1,80 GHz</x:v>
      </x:c>
      <x:c r="L5" s="77" t="str">
        <x:v>200 MHz</x:v>
      </x:c>
      <x:c r="M5" s="77" t="str">
        <x:v>x9</x:v>
      </x:c>
      <x:c r="N5" s="77" t="str">
        <x:v>1 MB</x:v>
      </x:c>
      <x:c r="O5" s="77" t="str">
        <x:v>65 W</x:v>
      </x:c>
      <x:c r="P5" s="77" t="str">
        <x:v>EM64T, EIST, MMX, SSE, SSE2, SSE3, SSSE3, DEP</x:v>
      </x:c>
      <x:c r="Q5" s="77" t="str">
        <x:v>MB-008</x:v>
      </x:c>
      <x:c r="R5" s="78" t="str">
        <x:v>Funcionando</x:v>
      </x:c>
    </x:row>
    <x:row r="6">
      <x:c r="A6" s="76" t="str">
        <x:v>CPU-003</x:v>
      </x:c>
      <x:c r="B6" s="77" t="str">
        <x:v>Intel</x:v>
      </x:c>
      <x:c r="C6" s="77" t="str">
        <x:v>Core 2 Duo E8400</x:v>
      </x:c>
      <x:c r="D6" s="77" t="str">
        <x:v>Wolfdale</x:v>
      </x:c>
      <x:c r="E6" s="77" t="str">
        <x:v>LGA775</x:v>
      </x:c>
      <x:c r="F6" s="77" t="str">
        <x:v>45 nm</x:v>
      </x:c>
      <x:c r="G6" s="77" t="str">
        <x:v>Não confirmado</x:v>
      </x:c>
      <x:c r="H6" s="77" t="str">
        <x:v>Não confirmado</x:v>
      </x:c>
      <x:c r="I6" s="77" t="str">
        <x:v>2</x:v>
      </x:c>
      <x:c r="J6" s="77" t="str">
        <x:v>2</x:v>
      </x:c>
      <x:c r="K6" s="77" t="str">
        <x:v>3,00 GHz</x:v>
      </x:c>
      <x:c r="L6" s="77" t="str">
        <x:v>333 MHz</x:v>
      </x:c>
      <x:c r="M6" s="77" t="str">
        <x:v>x9</x:v>
      </x:c>
      <x:c r="N6" s="77" t="str">
        <x:v>6 MB</x:v>
      </x:c>
      <x:c r="O6" s="77" t="str">
        <x:v>65 W</x:v>
      </x:c>
      <x:c r="P6" s="77" t="str">
        <x:v>Não confirmado</x:v>
      </x:c>
      <x:c r="Q6" s="77" t="str">
        <x:v>MB-002</x:v>
      </x:c>
      <x:c r="R6" s="78" t="str">
        <x:v>Funcionando</x:v>
      </x:c>
    </x:row>
    <x:row r="7">
      <x:c r="A7" s="76" t="str">
        <x:v>CPU-004</x:v>
      </x:c>
      <x:c r="B7" s="77" t="str">
        <x:v>Intel</x:v>
      </x:c>
      <x:c r="C7" s="77" t="str">
        <x:v>Celeron J1800</x:v>
      </x:c>
      <x:c r="D7" s="77" t="str">
        <x:v>Bay Trail-D</x:v>
      </x:c>
      <x:c r="E7" s="77" t="str">
        <x:v>BGA</x:v>
      </x:c>
      <x:c r="F7" s="77" t="str">
        <x:v>22 nm</x:v>
      </x:c>
      <x:c r="G7" s="77" t="str">
        <x:v>Não confirmado</x:v>
      </x:c>
      <x:c r="H7" s="77" t="str">
        <x:v>Não confirmado</x:v>
      </x:c>
      <x:c r="I7" s="77" t="str">
        <x:v>2</x:v>
      </x:c>
      <x:c r="J7" s="77" t="str">
        <x:v>2</x:v>
      </x:c>
      <x:c r="K7" s="77" t="str">
        <x:v>2,41 GHz base</x:v>
      </x:c>
      <x:c r="L7" s="77" t="str">
        <x:v>Não aplicável</x:v>
      </x:c>
      <x:c r="M7" s="77" t="str">
        <x:v>Não confirmado</x:v>
      </x:c>
      <x:c r="N7" s="77" t="str">
        <x:v>1 MB</x:v>
      </x:c>
      <x:c r="O7" s="77" t="str">
        <x:v>10 W</x:v>
      </x:c>
      <x:c r="P7" s="77" t="str">
        <x:v>Não confirmado</x:v>
      </x:c>
      <x:c r="Q7" s="77" t="str">
        <x:v>MB-006</x:v>
      </x:c>
      <x:c r="R7" s="78" t="str">
        <x:v>Funcionando</x:v>
      </x:c>
    </x:row>
    <x:row r="8">
      <x:c r="A8" s="79" t="str">
        <x:v>CPU-005</x:v>
      </x:c>
      <x:c r="B8" s="80" t="str">
        <x:v>Intel</x:v>
      </x:c>
      <x:c r="C8" s="80" t="str">
        <x:v>Celeron 847</x:v>
      </x:c>
      <x:c r="D8" s="80" t="str">
        <x:v>Sandy Bridge</x:v>
      </x:c>
      <x:c r="E8" s="80" t="str">
        <x:v>BGA</x:v>
      </x:c>
      <x:c r="F8" s="80" t="str">
        <x:v>32 nm</x:v>
      </x:c>
      <x:c r="G8" s="80" t="str">
        <x:v>Não confirmado</x:v>
      </x:c>
      <x:c r="H8" s="80" t="str">
        <x:v>Não confirmado</x:v>
      </x:c>
      <x:c r="I8" s="80" t="str">
        <x:v>2</x:v>
      </x:c>
      <x:c r="J8" s="80" t="str">
        <x:v>2</x:v>
      </x:c>
      <x:c r="K8" s="80" t="str">
        <x:v>1,10 GHz</x:v>
      </x:c>
      <x:c r="L8" s="80" t="str">
        <x:v>Não aplicável</x:v>
      </x:c>
      <x:c r="M8" s="80" t="str">
        <x:v>Não confirmado</x:v>
      </x:c>
      <x:c r="N8" s="80" t="str">
        <x:v>2 MB</x:v>
      </x:c>
      <x:c r="O8" s="80" t="str">
        <x:v>17 W</x:v>
      </x:c>
      <x:c r="P8" s="80" t="str">
        <x:v>Não confirmado</x:v>
      </x:c>
      <x:c r="Q8" s="80" t="str">
        <x:v>MB-007</x:v>
      </x:c>
      <x:c r="R8" s="81" t="str">
        <x:v>Funcionando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33d2bb951ff74a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3" hidden="0" customWidth="1"/>
    <x:col min="5" max="5" width="18" hidden="0" customWidth="1"/>
    <x:col min="6" max="6" width="24" hidden="0" customWidth="1"/>
    <x:col min="7" max="7" width="16" hidden="0" customWidth="1"/>
    <x:col min="8" max="8" width="11" hidden="0" customWidth="1"/>
    <x:col min="9" max="9" width="10" hidden="0" customWidth="1"/>
    <x:col min="10" max="10" width="11" hidden="0" customWidth="1"/>
    <x:col min="11" max="11" width="16" hidden="0" customWidth="1"/>
    <x:col min="12" max="12" width="58" hidden="0" customWidth="1"/>
  </x:cols>
  <x:sheetData>
    <x:row r="1" ht="28" customHeight="1">
      <x:c r="A1" s="5" t="str">
        <x:v>MEMÓRIAS — INVENTÁRIO TÉCNICO</x:v>
      </x:c>
    </x:row>
    <x:row r="3">
      <x:c r="A3" s="73" t="str">
        <x:v>Código</x:v>
      </x:c>
      <x:c r="B3" s="74" t="str">
        <x:v>Fabricante</x:v>
      </x:c>
      <x:c r="C3" s="74" t="str">
        <x:v>Part number</x:v>
      </x:c>
      <x:c r="D3" s="74" t="str">
        <x:v>Capacidade</x:v>
      </x:c>
      <x:c r="E3" s="74" t="str">
        <x:v>Tipo</x:v>
      </x:c>
      <x:c r="F3" s="74" t="str">
        <x:v>Classificação</x:v>
      </x:c>
      <x:c r="G3" s="74" t="str">
        <x:v>Clock nominal</x:v>
      </x:c>
      <x:c r="H3" s="74" t="str">
        <x:v>Tensão</x:v>
      </x:c>
      <x:c r="I3" s="74" t="str">
        <x:v>ECC</x:v>
      </x:c>
      <x:c r="J3" s="74" t="str">
        <x:v>Ranks</x:v>
      </x:c>
      <x:c r="K3" s="74" t="str">
        <x:v>Placa associada</x:v>
      </x:c>
      <x:c r="L3" s="75" t="str">
        <x:v>Observações/SPD</x:v>
      </x:c>
    </x:row>
    <x:row r="4">
      <x:c r="A4" s="76" t="str">
        <x:v>RAM-001</x:v>
      </x:c>
      <x:c r="B4" s="77" t="str">
        <x:v>Micron</x:v>
      </x:c>
      <x:c r="C4" s="77" t="str">
        <x:v>8JTF25664AZ-1G4D1</x:v>
      </x:c>
      <x:c r="D4" s="77" t="str">
        <x:v>2 GB</x:v>
      </x:c>
      <x:c r="E4" s="77" t="str">
        <x:v>DDR3 UDIMM</x:v>
      </x:c>
      <x:c r="F4" s="77" t="str">
        <x:v>PC3-10700 / DDR3-1332</x:v>
      </x:c>
      <x:c r="G4" s="77" t="str">
        <x:v>667 MHz</x:v>
      </x:c>
      <x:c r="H4" s="77" t="str">
        <x:v>1,50 V</x:v>
      </x:c>
      <x:c r="I4" s="77" t="str">
        <x:v>Não</x:v>
      </x:c>
      <x:c r="J4" s="77" t="str">
        <x:v>Não confirmado</x:v>
      </x:c>
      <x:c r="K4" s="77" t="str">
        <x:v>MB-004</x:v>
      </x:c>
      <x:c r="L4" s="78" t="str">
        <x:v>Módulo 1; timings JEDEC visíveis: 666,7 MHz 9-9-9-24; 533,3 MHz 7-7-7-20; 400 MHz 6-6-6-15; 333,3 MHz 5-5-5-12.</x:v>
      </x:c>
    </x:row>
    <x:row r="5">
      <x:c r="A5" s="76" t="str">
        <x:v>RAM-002</x:v>
      </x:c>
      <x:c r="B5" s="77" t="str">
        <x:v>Micron</x:v>
      </x:c>
      <x:c r="C5" s="77" t="str">
        <x:v>8JTF25664AZ-1G4D1</x:v>
      </x:c>
      <x:c r="D5" s="77" t="str">
        <x:v>2 GB</x:v>
      </x:c>
      <x:c r="E5" s="77" t="str">
        <x:v>DDR3 UDIMM</x:v>
      </x:c>
      <x:c r="F5" s="77" t="str">
        <x:v>PC3-10700 / DDR3-1332</x:v>
      </x:c>
      <x:c r="G5" s="77" t="str">
        <x:v>667 MHz</x:v>
      </x:c>
      <x:c r="H5" s="77" t="str">
        <x:v>1,50 V</x:v>
      </x:c>
      <x:c r="I5" s="77" t="str">
        <x:v>Não</x:v>
      </x:c>
      <x:c r="J5" s="77" t="str">
        <x:v>Não confirmado</x:v>
      </x:c>
      <x:c r="K5" s="77" t="str">
        <x:v>MB-004</x:v>
      </x:c>
      <x:c r="L5" s="78" t="str">
        <x:v>Módulo 2; sistema em dual-channel, total 4 GB.</x:v>
      </x:c>
    </x:row>
    <x:row r="6">
      <x:c r="A6" s="76" t="str">
        <x:v>RAM-003</x:v>
      </x:c>
      <x:c r="B6" s="77" t="str">
        <x:v>Samsung</x:v>
      </x:c>
      <x:c r="C6" s="77" t="str">
        <x:v>M3 78T2953EZ3-CE6</x:v>
      </x:c>
      <x:c r="D6" s="77" t="str">
        <x:v>1 GB</x:v>
      </x:c>
      <x:c r="E6" s="77" t="str">
        <x:v>DDR2 UDIMM</x:v>
      </x:c>
      <x:c r="F6" s="77" t="str">
        <x:v>PC2-5300</x:v>
      </x:c>
      <x:c r="G6" s="77" t="str">
        <x:v>333 MHz</x:v>
      </x:c>
      <x:c r="H6" s="77" t="str">
        <x:v>1,80 V</x:v>
      </x:c>
      <x:c r="I6" s="77" t="str">
        <x:v>Não</x:v>
      </x:c>
      <x:c r="J6" s="77" t="str">
        <x:v>2 ranks</x:v>
      </x:c>
      <x:c r="K6" s="77" t="str">
        <x:v>MB-008</x:v>
      </x:c>
      <x:c r="L6" s="78" t="str">
        <x:v>Semana/ano 08/08; serial 18013508; JEDEC 200/266/333 MHz, CL 3/4/5.</x:v>
      </x:c>
    </x:row>
    <x:row r="7">
      <x:c r="A7" s="76" t="str">
        <x:v>RAM-004</x:v>
      </x:c>
      <x:c r="B7" s="77" t="str">
        <x:v>Smart Modular</x:v>
      </x:c>
      <x:c r="C7" s="77" t="str">
        <x:v>SG564288FG8N6KF-Z1</x:v>
      </x:c>
      <x:c r="D7" s="77" t="str">
        <x:v>1 GB</x:v>
      </x:c>
      <x:c r="E7" s="77" t="str">
        <x:v>DDR2 UDIMM</x:v>
      </x:c>
      <x:c r="F7" s="77" t="str">
        <x:v>PC2-6400</x:v>
      </x:c>
      <x:c r="G7" s="77" t="str">
        <x:v>400 MHz</x:v>
      </x:c>
      <x:c r="H7" s="77" t="str">
        <x:v>1,80 V</x:v>
      </x:c>
      <x:c r="I7" s="77" t="str">
        <x:v>Não</x:v>
      </x:c>
      <x:c r="J7" s="77" t="str">
        <x:v>1 rank</x:v>
      </x:c>
      <x:c r="K7" s="77" t="str">
        <x:v>MB-008</x:v>
      </x:c>
      <x:c r="L7" s="78" t="str">
        <x:v>SPD mostra JEDEC 266/333/400 MHz, CL 4/5/6; serial FFFFFFFF; campo semana/ano inválido 165/165.</x:v>
      </x:c>
    </x:row>
    <x:row r="8">
      <x:c r="A8" s="76" t="str">
        <x:v>RAM-005</x:v>
      </x:c>
      <x:c r="B8" s="77" t="str">
        <x:v>Kingston</x:v>
      </x:c>
      <x:c r="C8" s="77" t="str">
        <x:v>Não confirmado</x:v>
      </x:c>
      <x:c r="D8" s="77" t="str">
        <x:v>4 GB</x:v>
      </x:c>
      <x:c r="E8" s="77" t="str">
        <x:v>DDR3</x:v>
      </x:c>
      <x:c r="F8" s="77" t="str">
        <x:v>Não confirmado</x:v>
      </x:c>
      <x:c r="G8" s="77" t="str">
        <x:v>Não confirmado</x:v>
      </x:c>
      <x:c r="H8" s="77" t="str">
        <x:v>Não confirmado</x:v>
      </x:c>
      <x:c r="I8" s="77" t="str">
        <x:v>Não confirmado</x:v>
      </x:c>
      <x:c r="J8" s="77" t="str">
        <x:v>Não confirmado</x:v>
      </x:c>
      <x:c r="K8" s="77" t="str">
        <x:v>MB-002</x:v>
      </x:c>
      <x:c r="L8" s="78" t="str">
        <x:v>Cadastro anterior do projeto.</x:v>
      </x:c>
    </x:row>
    <x:row r="9">
      <x:c r="A9" s="76" t="str">
        <x:v>RAM-006</x:v>
      </x:c>
      <x:c r="B9" s="77" t="str">
        <x:v>Kingston</x:v>
      </x:c>
      <x:c r="C9" s="77" t="str">
        <x:v>Não confirmado</x:v>
      </x:c>
      <x:c r="D9" s="77" t="str">
        <x:v>4 GB</x:v>
      </x:c>
      <x:c r="E9" s="77" t="str">
        <x:v>DDR3L</x:v>
      </x:c>
      <x:c r="F9" s="77" t="str">
        <x:v>Não confirmado</x:v>
      </x:c>
      <x:c r="G9" s="77" t="str">
        <x:v>Não confirmado</x:v>
      </x:c>
      <x:c r="H9" s="77" t="str">
        <x:v>Não confirmado</x:v>
      </x:c>
      <x:c r="I9" s="77" t="str">
        <x:v>Não confirmado</x:v>
      </x:c>
      <x:c r="J9" s="77" t="str">
        <x:v>Não confirmado</x:v>
      </x:c>
      <x:c r="K9" s="77" t="str">
        <x:v>MB-006</x:v>
      </x:c>
      <x:c r="L9" s="78" t="str">
        <x:v>Cadastro anterior do projeto.</x:v>
      </x:c>
    </x:row>
    <x:row r="10">
      <x:c r="A10" s="79" t="str">
        <x:v>RAM-007</x:v>
      </x:c>
      <x:c r="B10" s="80" t="str">
        <x:v>Kingston</x:v>
      </x:c>
      <x:c r="C10" s="80" t="str">
        <x:v>Não confirmado</x:v>
      </x:c>
      <x:c r="D10" s="80" t="str">
        <x:v>4 GB</x:v>
      </x:c>
      <x:c r="E10" s="80" t="str">
        <x:v>DDR3L</x:v>
      </x:c>
      <x:c r="F10" s="80" t="str">
        <x:v>Não confirmado</x:v>
      </x:c>
      <x:c r="G10" s="80" t="str">
        <x:v>Não confirmado</x:v>
      </x:c>
      <x:c r="H10" s="80" t="str">
        <x:v>Não confirmado</x:v>
      </x:c>
      <x:c r="I10" s="80" t="str">
        <x:v>Não confirmado</x:v>
      </x:c>
      <x:c r="J10" s="80" t="str">
        <x:v>Não confirmado</x:v>
      </x:c>
      <x:c r="K10" s="80" t="str">
        <x:v>MB-007</x:v>
      </x:c>
      <x:c r="L10" s="81" t="str">
        <x:v>Cadastro anterior do projeto.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11feddb0a184ba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0" hidden="0" customWidth="1"/>
    <x:col min="4" max="4" width="35" hidden="0" customWidth="1"/>
    <x:col min="5" max="5" width="20" hidden="0" customWidth="1"/>
    <x:col min="6" max="6" width="28" hidden="0" customWidth="1"/>
    <x:col min="7" max="7" width="55" hidden="0" customWidth="1"/>
    <x:col min="8" max="8" width="18" hidden="0" customWidth="1"/>
  </x:cols>
  <x:sheetData>
    <x:row r="1" ht="28" customHeight="1">
      <x:c r="A1" s="5" t="str">
        <x:v>HISTÓRICO DE TESTES E DIAGNÓSTICOS</x:v>
      </x:c>
    </x:row>
    <x:row r="3">
      <x:c r="A3" s="73" t="str">
        <x:v>Código do teste</x:v>
      </x:c>
      <x:c r="B3" s="74" t="str">
        <x:v>Item</x:v>
      </x:c>
      <x:c r="C3" s="74" t="str">
        <x:v>Tipo de teste</x:v>
      </x:c>
      <x:c r="D3" s="74" t="str">
        <x:v>Condição/cenário</x:v>
      </x:c>
      <x:c r="E3" s="74" t="str">
        <x:v>Resultado</x:v>
      </x:c>
      <x:c r="F3" s="74" t="str">
        <x:v>Sistema/ambiente</x:v>
      </x:c>
      <x:c r="G3" s="74" t="str">
        <x:v>Conclusão</x:v>
      </x:c>
      <x:c r="H3" s="75" t="str">
        <x:v>Fonte</x:v>
      </x:c>
    </x:row>
    <x:row r="4">
      <x:c r="A4" s="76" t="str">
        <x:v>TEST-001</x:v>
      </x:c>
      <x:c r="B4" s="77" t="str">
        <x:v>MB-004</x:v>
      </x:c>
      <x:c r="C4" s="77" t="str">
        <x:v>Teste funcional com HWiNFO 64 v8.46-5960</x:v>
      </x:c>
      <x:c r="D4" s="77" t="str">
        <x:v>Inicialização e identificação completa</x:v>
      </x:c>
      <x:c r="E4" s="77" t="str">
        <x:v>Aprovado</x:v>
      </x:c>
      <x:c r="F4" s="77" t="str">
        <x:v>Windows 11 Enterprise x64 22H2</x:v>
      </x:c>
      <x:c r="G4" s="77" t="str">
        <x:v>CPU, chipset, memória e vídeo integrado reconhecidos.</x:v>
      </x:c>
      <x:c r="H4" s="78" t="str">
        <x:v>Anexos 4–8</x:v>
      </x:c>
    </x:row>
    <x:row r="5">
      <x:c r="A5" s="76" t="str">
        <x:v>TEST-002</x:v>
      </x:c>
      <x:c r="B5" s="77" t="str">
        <x:v>MB-008</x:v>
      </x:c>
      <x:c r="C5" s="77" t="str">
        <x:v>Teste funcional com HWiNFO 64 v8.46-5960 e CPU-Z 2.19.0 x64</x:v>
      </x:c>
      <x:c r="D5" s="77" t="str">
        <x:v>Inicialização e identificação completa</x:v>
      </x:c>
      <x:c r="E5" s="77" t="str">
        <x:v>Aprovado</x:v>
      </x:c>
      <x:c r="F5" s="77" t="str">
        <x:v>Windows 10 Enterprise x64</x:v>
      </x:c>
      <x:c r="G5" s="77" t="str">
        <x:v>CPU, chipset, BIOS, memória e vídeo integrado reconhecidos.</x:v>
      </x:c>
      <x:c r="H5" s="78" t="str">
        <x:v>Anexos 23–30</x:v>
      </x:c>
    </x:row>
    <x:row r="6">
      <x:c r="A6" s="76" t="str">
        <x:v>TEST-003</x:v>
      </x:c>
      <x:c r="B6" s="77" t="str">
        <x:v>VG-001</x:v>
      </x:c>
      <x:c r="C6" s="77" t="str">
        <x:v>Teste de detecção da GPU</x:v>
      </x:c>
      <x:c r="D6" s="77" t="str">
        <x:v>Instalada no MB-008 / OptiPlex 745</x:v>
      </x:c>
      <x:c r="E6" s="77" t="str">
        <x:v>Aprovado</x:v>
      </x:c>
      <x:c r="F6" s="77" t="str">
        <x:v>Windows 10 Enterprise x64</x:v>
      </x:c>
      <x:c r="G6" s="77" t="str">
        <x:v>GeForce 7300 LE detectada em PCIe x16; clocks e memória reconhecidos.</x:v>
      </x:c>
      <x:c r="H6" s="78" t="str">
        <x:v>Anexos 31–33</x:v>
      </x:c>
    </x:row>
    <x:row r="7">
      <x:c r="A7" s="76" t="str">
        <x:v>TEST-004</x:v>
      </x:c>
      <x:c r="B7" s="77" t="str">
        <x:v>VG-002</x:v>
      </x:c>
      <x:c r="C7" s="77" t="str">
        <x:v>Teste de detecção da GPU</x:v>
      </x:c>
      <x:c r="D7" s="77" t="str">
        <x:v>Instalada em plataforma Windows 10</x:v>
      </x:c>
      <x:c r="E7" s="77" t="str">
        <x:v>Aprovado</x:v>
      </x:c>
      <x:c r="F7" s="77" t="str">
        <x:v>Windows 10 Enterprise x64</x:v>
      </x:c>
      <x:c r="G7" s="77" t="str">
        <x:v>Radeon HD 4350 detectada; VBIOS, clocks, barramento e shaders reconhecidos.</x:v>
      </x:c>
      <x:c r="H7" s="78" t="str">
        <x:v>Anexos 34–36</x:v>
      </x:c>
    </x:row>
    <x:row r="8">
      <x:c r="A8" s="79" t="str">
        <x:v>TEST-005</x:v>
      </x:c>
      <x:c r="B8" s="80" t="str">
        <x:v>MB-003</x:v>
      </x:c>
      <x:c r="C8" s="80" t="str">
        <x:v>Teste de energização</x:v>
      </x:c>
      <x:c r="D8" s="80" t="str">
        <x:v>Placa liga, porém não apresenta vídeo</x:v>
      </x:c>
      <x:c r="E8" s="80" t="str">
        <x:v>Pendente diagnóstico</x:v>
      </x:c>
      <x:c r="F8" s="80" t="str">
        <x:v>Não informado</x:v>
      </x:c>
      <x:c r="G8" s="80" t="str">
        <x:v>Requer inspeção de RAM, CPU, BIOS, capacitores, alimentação e vídeo.</x:v>
      </x:c>
      <x:c r="H8" s="81" t="str">
        <x:v>Cadastro anterior</x:v>
      </x:c>
    </x:row>
  </x:sheetData>
  <x:mergeCells>
    <x:mergeCell ref="A1:H1"/>
  </x:mergeCells>
  <x:conditionalFormatting sqref="E4:E200">
    <x:cfRule type="expression" dxfId="4" priority="1">
      <x:formula>E4="Aprovado"</x:formula>
    </x:cfRule>
    <x:cfRule type="expression" dxfId="5" priority="2">
      <x:formula>E4="Pendente diagnóstico"</x:formula>
    </x:cfRule>
  </x:conditionalFormatting>
  <x:dataValidations count="1">
    <x:dataValidation type="list" sqref="E4:E200">
      <x:formula1>Listas!$C$2:$C$5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ddf8a40c9d4a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8" hidden="0" customWidth="1"/>
    <x:col min="4" max="4" width="70" hidden="0" customWidth="1"/>
  </x:cols>
  <x:sheetData>
    <x:row r="1" ht="28" customHeight="1">
      <x:c r="A1" s="5" t="str">
        <x:v>ÍNDICE DOS ANEXOS FOTOGRÁFICOS</x:v>
      </x:c>
    </x:row>
    <x:row r="3">
      <x:c r="A3" s="73" t="str">
        <x:v>Referência</x:v>
      </x:c>
      <x:c r="B3" s="74" t="str">
        <x:v>Item</x:v>
      </x:c>
      <x:c r="C3" s="74" t="str">
        <x:v>Equipamento</x:v>
      </x:c>
      <x:c r="D3" s="75" t="str">
        <x:v>Conteúdo das imagens</x:v>
      </x:c>
    </x:row>
    <x:row r="4">
      <x:c r="A4" s="76" t="str">
        <x:v>Anexos 1–3</x:v>
      </x:c>
      <x:c r="B4" s="77" t="str">
        <x:v>MB-001</x:v>
      </x:c>
      <x:c r="C4" s="77" t="str">
        <x:v>ASUS P4S800D-X</x:v>
      </x:c>
      <x:c r="D4" s="78" t="str">
        <x:v>Vista geral, slots, chipset SiS 964 e layout físico.</x:v>
      </x:c>
    </x:row>
    <x:row r="5">
      <x:c r="A5" s="76" t="str">
        <x:v>Anexos 4–8</x:v>
      </x:c>
      <x:c r="B5" s="77" t="str">
        <x:v>MB-004</x:v>
      </x:c>
      <x:c r="C5" s="77" t="str">
        <x:v>Dell OptiPlex 380</x:v>
      </x:c>
      <x:c r="D5" s="78" t="str">
        <x:v>HWiNFO: CPU, placa-mãe, memória, GPU integrada e sistema operacional.</x:v>
      </x:c>
    </x:row>
    <x:row r="6">
      <x:c r="A6" s="76" t="str">
        <x:v>Anexos 9–14</x:v>
      </x:c>
      <x:c r="B6" s="77" t="str">
        <x:v>MB-004</x:v>
      </x:c>
      <x:c r="C6" s="77" t="str">
        <x:v>Dell OptiPlex 380</x:v>
      </x:c>
      <x:c r="D6" s="78" t="str">
        <x:v>Fotos físicas, etiquetas, PCB, conectores e identificação DP/N 0HN7XN.</x:v>
      </x:c>
    </x:row>
    <x:row r="7">
      <x:c r="A7" s="76" t="str">
        <x:v>Anexos 15–22</x:v>
      </x:c>
      <x:c r="B7" s="77" t="str">
        <x:v>MB-008</x:v>
      </x:c>
      <x:c r="C7" s="77" t="str">
        <x:v>Dell OptiPlex 745</x:v>
      </x:c>
      <x:c r="D7" s="78" t="str">
        <x:v>Fotos físicas, etiquetas, chipset NVIDIA auxiliar, socket, Super I/O e PCB DP/N UX762.</x:v>
      </x:c>
    </x:row>
    <x:row r="8">
      <x:c r="A8" s="76" t="str">
        <x:v>Anexos 23–30</x:v>
      </x:c>
      <x:c r="B8" s="77" t="str">
        <x:v>MB-008</x:v>
      </x:c>
      <x:c r="C8" s="77" t="str">
        <x:v>Dell OptiPlex 745</x:v>
      </x:c>
      <x:c r="D8" s="78" t="str">
        <x:v>HWiNFO/CPU-Z: CPU, chipset, BIOS, RAM, SPD e vídeo integrado.</x:v>
      </x:c>
    </x:row>
    <x:row r="9">
      <x:c r="A9" s="76" t="str">
        <x:v>Anexos 31–33</x:v>
      </x:c>
      <x:c r="B9" s="77" t="str">
        <x:v>VG-001</x:v>
      </x:c>
      <x:c r="C9" s="77" t="str">
        <x:v>XFX GeForce 7300 LE</x:v>
      </x:c>
      <x:c r="D9" s="78" t="str">
        <x:v>CPU-Z/HWiNFO com identificação, clocks, barramento, memória e PCI ID.</x:v>
      </x:c>
    </x:row>
    <x:row r="10">
      <x:c r="A10" s="79" t="str">
        <x:v>Anexos 34–36</x:v>
      </x:c>
      <x:c r="B10" s="80" t="str">
        <x:v>VG-002</x:v>
      </x:c>
      <x:c r="C10" s="80" t="str">
        <x:v>XFX Radeon HD 4350</x:v>
      </x:c>
      <x:c r="D10" s="81" t="str">
        <x:v>HWiNFO/CPU-Z com VBIOS, clocks, shaders, memória e PCI ID.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470c8c3fb9e43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0" hidden="0" customWidth="1"/>
    <x:col min="4" max="4" width="25" hidden="0" customWidth="1"/>
    <x:col min="5" max="5" width="25" hidden="0" customWidth="1"/>
    <x:col min="6" max="6" width="28" hidden="0" customWidth="1"/>
    <x:col min="7" max="7" width="22" hidden="0" customWidth="1"/>
    <x:col min="8" max="8" width="22" hidden="0" customWidth="1"/>
    <x:col min="9" max="9" width="18" hidden="0" customWidth="1"/>
    <x:col min="10" max="10" width="60" hidden="0" customWidth="1"/>
  </x:cols>
  <x:sheetData>
    <x:row r="1">
      <x:c r="A1" s="5" t="str">
        <x:v>VISÃO CONSOLIDADA DOS EQUIPAMENTOS</x:v>
      </x:c>
    </x:row>
    <x:row r="3">
      <x:c r="A3" s="24" t="str">
        <x:v>Código</x:v>
      </x:c>
      <x:c r="B3" s="63" t="str">
        <x:v>Categoria</x:v>
      </x:c>
      <x:c r="C3" s="63" t="str">
        <x:v>Fabricante</x:v>
      </x:c>
      <x:c r="D3" s="63" t="str">
        <x:v>Modelo</x:v>
      </x:c>
      <x:c r="E3" s="63" t="str">
        <x:v>Plataforma</x:v>
      </x:c>
      <x:c r="F3" s="63" t="str">
        <x:v>CPU/GPU principal</x:v>
      </x:c>
      <x:c r="G3" s="63" t="str">
        <x:v>Memória</x:v>
      </x:c>
      <x:c r="H3" s="63" t="str">
        <x:v>Estado</x:v>
      </x:c>
      <x:c r="I3" s="63" t="str">
        <x:v>Fonte</x:v>
      </x:c>
      <x:c r="J3" s="25" t="str">
        <x:v>Observações</x:v>
      </x:c>
    </x:row>
    <x:row r="4">
      <x:c r="A4" s="69" t="str">
        <x:v>MB-001</x:v>
      </x:c>
      <x:c r="B4" s="49" t="str">
        <x:v>Placa-mãe</x:v>
      </x:c>
      <x:c r="C4" s="49" t="str">
        <x:v>ASUS</x:v>
      </x:c>
      <x:c r="D4" s="49" t="str">
        <x:v>P4S800D-X</x:v>
      </x:c>
      <x:c r="E4" s="49" t="str">
        <x:v>Socket 478 / SiS 648FX</x:v>
      </x:c>
      <x:c r="F4" s="49" t="str">
        <x:v>Não confirmado</x:v>
      </x:c>
      <x:c r="G4" s="49" t="str">
        <x:v>Não confirmado</x:v>
      </x:c>
      <x:c r="H4" s="49" t="str">
        <x:v>Não testada</x:v>
      </x:c>
      <x:c r="I4" s="49" t="str">
        <x:v>Anexos 1–3</x:v>
      </x:c>
      <x:c r="J4" s="50" t="str">
        <x:v>Fotos físicas: anexos 1–3; chipset SiS 964 visível no anexo 2.</x:v>
      </x:c>
    </x:row>
    <x:row r="5">
      <x:c r="A5" s="69" t="str">
        <x:v>MB-002</x:v>
      </x:c>
      <x:c r="B5" s="49" t="str">
        <x:v>Placa-mãe</x:v>
      </x:c>
      <x:c r="C5" s="49" t="str">
        <x:v>ECS</x:v>
      </x:c>
      <x:c r="D5" s="49" t="str">
        <x:v>G41T-M7 V1.0</x:v>
      </x:c>
      <x:c r="E5" s="49" t="str">
        <x:v>LGA775 / Intel G41</x:v>
      </x:c>
      <x:c r="F5" s="49" t="str">
        <x:v>Intel Core 2 Duo E8400</x:v>
      </x:c>
      <x:c r="G5" s="49" t="str">
        <x:v>4 GB DDR3</x:v>
      </x:c>
      <x:c r="H5" s="49" t="str">
        <x:v>Funcionando</x:v>
      </x:c>
      <x:c r="I5" s="49" t="str">
        <x:v>Cadastro anterior</x:v>
      </x:c>
      <x:c r="J5" s="50" t="str">
        <x:v>Cadastro anterior do projeto; fotos/HWiNFO detalhado não aparecem no documento recebido.</x:v>
      </x:c>
    </x:row>
    <x:row r="6">
      <x:c r="A6" s="69" t="str">
        <x:v>MB-003</x:v>
      </x:c>
      <x:c r="B6" s="49" t="str">
        <x:v>Placa-mãe</x:v>
      </x:c>
      <x:c r="C6" s="49" t="str">
        <x:v>ECS</x:v>
      </x:c>
      <x:c r="D6" s="49" t="str">
        <x:v>G41T-M7 V1.0</x:v>
      </x:c>
      <x:c r="E6" s="49" t="str">
        <x:v>LGA775 / Intel G41</x:v>
      </x:c>
      <x:c r="F6" s="49" t="str">
        <x:v>Não confirmado</x:v>
      </x:c>
      <x:c r="G6" s="49" t="str">
        <x:v>Não confirmado</x:v>
      </x:c>
      <x:c r="H6" s="49" t="str">
        <x:v>Liga, sem vídeo</x:v>
      </x:c>
      <x:c r="I6" s="49" t="str">
        <x:v>Cadastro anterior</x:v>
      </x:c>
      <x:c r="J6" s="50" t="str">
        <x:v>Segunda unidade física; não deve ser confundida com a MB-002.</x:v>
      </x:c>
    </x:row>
    <x:row r="7">
      <x:c r="A7" s="69" t="str">
        <x:v>MB-004</x:v>
      </x:c>
      <x:c r="B7" s="49" t="str">
        <x:v>Placa-mãe</x:v>
      </x:c>
      <x:c r="C7" s="49" t="str">
        <x:v>Dell</x:v>
      </x:c>
      <x:c r="D7" s="49" t="str">
        <x:v>OptiPlex 380</x:v>
      </x:c>
      <x:c r="E7" s="49" t="str">
        <x:v>LGA775 / Intel G41 (Eaglelake)</x:v>
      </x:c>
      <x:c r="F7" s="49" t="str">
        <x:v>Intel Core 2 Duo E7500</x:v>
      </x:c>
      <x:c r="G7" s="49" t="str">
        <x:v>4 GB DDR3 dual-channel</x:v>
      </x:c>
      <x:c r="H7" s="49" t="str">
        <x:v>Funcionando</x:v>
      </x:c>
      <x:c r="I7" s="49" t="str">
        <x:v>Anexos 4–8 e 9–14</x:v>
      </x:c>
      <x:c r="J7" s="50" t="str">
        <x:v>HWiNFO: CPU E7500, 45 nm, stepping R0, Wolfdale-M, SSPEC SLGTE, 2c/2t, 2,93 GHz, L2 3 MB, TDP 65 W. Memória Micron 8JTF25664AZ-1G4D1, 2 GB por módulo, DDR3-1332/PC3-10700, 1,50 V. GPU integrada Intel GMA 4500.</x:v>
      </x:c>
    </x:row>
    <x:row r="8">
      <x:c r="A8" s="69" t="str">
        <x:v>MB-005</x:v>
      </x:c>
      <x:c r="B8" s="49" t="str">
        <x:v>Placa-mãe</x:v>
      </x:c>
      <x:c r="C8" s="49" t="str">
        <x:v>Lenovo</x:v>
      </x:c>
      <x:c r="D8" s="49" t="str">
        <x:v>L-A780 Rev.1 / M2RS780MH</x:v>
      </x:c>
      <x:c r="E8" s="49" t="str">
        <x:v>AM2/AM2+ / AMD RS780</x:v>
      </x:c>
      <x:c r="F8" s="49" t="str">
        <x:v>Não confirmado</x:v>
      </x:c>
      <x:c r="G8" s="49" t="str">
        <x:v>Não confirmado</x:v>
      </x:c>
      <x:c r="H8" s="49" t="str">
        <x:v>Não testada</x:v>
      </x:c>
      <x:c r="I8" s="49" t="str">
        <x:v>Cadastro anterior</x:v>
      </x:c>
      <x:c r="J8" s="50" t="str">
        <x:v>Cadastro anterior do projeto; sem HWiNFO identificável no documento recebido.</x:v>
      </x:c>
    </x:row>
    <x:row r="9">
      <x:c r="A9" s="69" t="str">
        <x:v>MB-006</x:v>
      </x:c>
      <x:c r="B9" s="49" t="str">
        <x:v>Placa-mãe</x:v>
      </x:c>
      <x:c r="C9" s="49" t="str">
        <x:v>ACC</x:v>
      </x:c>
      <x:c r="D9" s="49" t="str">
        <x:v>ACC1800N-2C1P</x:v>
      </x:c>
      <x:c r="E9" s="49" t="str">
        <x:v>BGA integrado / Intel Bay Trail-D</x:v>
      </x:c>
      <x:c r="F9" s="49" t="str">
        <x:v>Intel Celeron J1800</x:v>
      </x:c>
      <x:c r="G9" s="49" t="str">
        <x:v>4 GB Kingston DDR3L</x:v>
      </x:c>
      <x:c r="H9" s="49" t="str">
        <x:v>Funcionando</x:v>
      </x:c>
      <x:c r="I9" s="49" t="str">
        <x:v>Cadastro anterior</x:v>
      </x:c>
      <x:c r="J9" s="50" t="str">
        <x:v>Cadastro anterior do projeto; CPU integrada à placa.</x:v>
      </x:c>
    </x:row>
    <x:row r="10">
      <x:c r="A10" s="69" t="str">
        <x:v>MB-007</x:v>
      </x:c>
      <x:c r="B10" s="49" t="str">
        <x:v>Placa-mãe</x:v>
      </x:c>
      <x:c r="C10" s="49" t="str">
        <x:v>CCE</x:v>
      </x:c>
      <x:c r="D10" s="49" t="str">
        <x:v>NM70-I V1.0</x:v>
      </x:c>
      <x:c r="E10" s="49" t="str">
        <x:v>BGA integrado / Intel NM70</x:v>
      </x:c>
      <x:c r="F10" s="49" t="str">
        <x:v>Intel Celeron 847</x:v>
      </x:c>
      <x:c r="G10" s="49" t="str">
        <x:v>4 GB Kingston DDR3L</x:v>
      </x:c>
      <x:c r="H10" s="49" t="str">
        <x:v>Funcionando</x:v>
      </x:c>
      <x:c r="I10" s="49" t="str">
        <x:v>Cadastro anterior</x:v>
      </x:c>
      <x:c r="J10" s="50" t="str">
        <x:v>Cadastro anterior do projeto; CPU integrada à placa.</x:v>
      </x:c>
    </x:row>
    <x:row r="11">
      <x:c r="A11" s="69" t="str">
        <x:v>MB-008</x:v>
      </x:c>
      <x:c r="B11" s="49" t="str">
        <x:v>Placa-mãe</x:v>
      </x:c>
      <x:c r="C11" s="49" t="str">
        <x:v>Dell</x:v>
      </x:c>
      <x:c r="D11" s="49" t="str">
        <x:v>OptiPlex 745</x:v>
      </x:c>
      <x:c r="E11" s="49" t="str">
        <x:v>LGA775 / Intel Q965 (Broadwater-GC) rev. C1</x:v>
      </x:c>
      <x:c r="F11" s="49" t="str">
        <x:v>Intel Pentium Dual-Core E2160</x:v>
      </x:c>
      <x:c r="G11" s="49" t="str">
        <x:v>2 GB DDR2</x:v>
      </x:c>
      <x:c r="H11" s="49" t="str">
        <x:v>Funcionando</x:v>
      </x:c>
      <x:c r="I11" s="49" t="str">
        <x:v>Anexos 15–30</x:v>
      </x:c>
      <x:c r="J11" s="50" t="str">
        <x:v>CPU E2160: Conroe-1M, stepping M0, SSPEC SLA8Z, 65 nm, 2c/2t, 1,80 GHz, FSB 800, L2 1 MB, TDP 65 W. RAM: Samsung M3 78T2953EZ3-CE6 1 GB PC2-5300 + Smart Modular SG564288FG8N6KF-Z1 1 GB PC2-6400. Vídeo integrado Intel GMA 3000. Placa física também mostra DP/N BR-0CT103-48105-76G-0770 Rev. A04 em outra etiqueta; manter ambas as identificações até reconciliação física.</x:v>
      </x:c>
    </x:row>
    <x:row r="12">
      <x:c r="A12" s="69" t="str">
        <x:v>VG-001</x:v>
      </x:c>
      <x:c r="B12" s="49" t="str">
        <x:v>Placa de vídeo</x:v>
      </x:c>
      <x:c r="C12" s="49" t="str">
        <x:v>XFX Pine Group Inc.</x:v>
      </x:c>
      <x:c r="D12" s="49" t="str">
        <x:v>GeForce 7300 LE</x:v>
      </x:c>
      <x:c r="E12" s="49" t="str">
        <x:v>PCIe 1.1 x16 (2,5 GT/s), operando x16</x:v>
      </x:c>
      <x:c r="F12" s="49" t="str">
        <x:v>NVIDIA G72</x:v>
      </x:c>
      <x:c r="G12" s="49" t="str">
        <x:v>256 MB DDR2 SDRAM</x:v>
      </x:c>
      <x:c r="H12" s="49" t="str">
        <x:v>Funcionando / detectada</x:v>
      </x:c>
      <x:c r="I12" s="49" t="str">
        <x:v>Anexos 31–33</x:v>
      </x:c>
      <x:c r="J12" s="50" t="str">
        <x:v>Testada no Dell OptiPlex 745 com Windows 10 Enterprise; fabricante da placa XFX.</x:v>
      </x:c>
    </x:row>
    <x:row r="13">
      <x:c r="A13" s="70" t="str">
        <x:v>VG-002</x:v>
      </x:c>
      <x:c r="B13" s="52" t="str">
        <x:v>Placa de vídeo</x:v>
      </x:c>
      <x:c r="C13" s="52" t="str">
        <x:v>XFX Pine Group Inc.</x:v>
      </x:c>
      <x:c r="D13" s="52" t="str">
        <x:v>Radeon HD 4350</x:v>
      </x:c>
      <x:c r="E13" s="52" t="str">
        <x:v>PCIe 2.0 x16 (5,0 GT/s), operando x16 a 2,5 GT/s</x:v>
      </x:c>
      <x:c r="F13" s="52" t="str">
        <x:v>AMD/ATI RV710 / Luigi</x:v>
      </x:c>
      <x:c r="G13" s="52" t="str">
        <x:v>1 GB DDR2 SDRAM (Samsung indicado parcialmente)</x:v>
      </x:c>
      <x:c r="H13" s="52" t="str">
        <x:v>Funcionando / detectada</x:v>
      </x:c>
      <x:c r="I13" s="52" t="str">
        <x:v>Anexos 34–36</x:v>
      </x:c>
      <x:c r="J13" s="53" t="str">
        <x:v>VBIOS 011.021.000.007.000000; testada no Windows 10 Enterprise.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5d518ffaf9a4b9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38" hidden="0" customWidth="1"/>
    <x:col min="5" max="5" width="42" hidden="0" customWidth="1"/>
    <x:col min="6" max="6" width="46" hidden="0" customWidth="1"/>
  </x:cols>
  <x:sheetData>
    <x:row r="1">
      <x:c r="A1" s="5" t="str">
        <x:v>GUIA DE CADASTRO E PADRONIZAÇÃO</x:v>
      </x:c>
    </x:row>
    <x:row r="3">
      <x:c r="A3" s="24" t="str">
        <x:v>Categoria</x:v>
      </x:c>
      <x:c r="B3" s="63" t="str">
        <x:v>Prefixo</x:v>
      </x:c>
      <x:c r="C3" s="63" t="str">
        <x:v>Exemplo</x:v>
      </x:c>
      <x:c r="D3" s="63" t="str">
        <x:v>Quando criar novo código</x:v>
      </x:c>
      <x:c r="E3" s="63" t="str">
        <x:v>Campos mínimos</x:v>
      </x:c>
      <x:c r="F3" s="25" t="str">
        <x:v>Observação</x:v>
      </x:c>
    </x:row>
    <x:row r="4">
      <x:c r="A4" s="69" t="str">
        <x:v>Placa-mãe</x:v>
      </x:c>
      <x:c r="B4" s="49" t="str">
        <x:v>MB</x:v>
      </x:c>
      <x:c r="C4" s="49" t="str">
        <x:v>MB-009</x:v>
      </x:c>
      <x:c r="D4" s="49" t="str">
        <x:v>Cada unidade física recebe código próprio, mesmo sendo modelo repetido.</x:v>
      </x:c>
      <x:c r="E4" s="49" t="str">
        <x:v>Fabricante, modelo, revisão, estado, fotos.</x:v>
      </x:c>
      <x:c r="F4" s="50" t="str">
        <x:v>Nunca reutilizar código de item baixado.</x:v>
      </x:c>
    </x:row>
    <x:row r="5">
      <x:c r="A5" s="69" t="str">
        <x:v>Placa de vídeo</x:v>
      </x:c>
      <x:c r="B5" s="49" t="str">
        <x:v>VG</x:v>
      </x:c>
      <x:c r="C5" s="49" t="str">
        <x:v>VG-003</x:v>
      </x:c>
      <x:c r="D5" s="49" t="str">
        <x:v>Cada placa física recebe código próprio.</x:v>
      </x:c>
      <x:c r="E5" s="49" t="str">
        <x:v>Modelo, GPU, interface, memória, estado.</x:v>
      </x:c>
      <x:c r="F5" s="50" t="str">
        <x:v>Registrar perfil e saídas quando visíveis.</x:v>
      </x:c>
    </x:row>
    <x:row r="6">
      <x:c r="A6" s="69" t="str">
        <x:v>Processador</x:v>
      </x:c>
      <x:c r="B6" s="49" t="str">
        <x:v>CPU</x:v>
      </x:c>
      <x:c r="C6" s="49" t="str">
        <x:v>CPU-006</x:v>
      </x:c>
      <x:c r="D6" s="49" t="str">
        <x:v>Quando o processador puder ser identificado individualmente.</x:v>
      </x:c>
      <x:c r="E6" s="49" t="str">
        <x:v>Modelo, socket/BGA, clock, placa associada.</x:v>
      </x:c>
      <x:c r="F6" s="50" t="str">
        <x:v>CPU soldada pode permanecer associada à placa.</x:v>
      </x:c>
    </x:row>
    <x:row r="7">
      <x:c r="A7" s="69" t="str">
        <x:v>Memória</x:v>
      </x:c>
      <x:c r="B7" s="49" t="str">
        <x:v>RAM</x:v>
      </x:c>
      <x:c r="C7" s="49" t="str">
        <x:v>RAM-008</x:v>
      </x:c>
      <x:c r="D7" s="49" t="str">
        <x:v>Cada módulo físico deve receber código próprio.</x:v>
      </x:c>
      <x:c r="E7" s="49" t="str">
        <x:v>Fabricante, capacidade, tipo, frequência, placa associada.</x:v>
      </x:c>
      <x:c r="F7" s="50" t="str">
        <x:v>Usar part number e serial quando disponíveis.</x:v>
      </x:c>
    </x:row>
    <x:row r="8">
      <x:c r="A8" s="69" t="str">
        <x:v>Teste</x:v>
      </x:c>
      <x:c r="B8" s="49" t="str">
        <x:v>TEST</x:v>
      </x:c>
      <x:c r="C8" s="49" t="str">
        <x:v>TEST-006</x:v>
      </x:c>
      <x:c r="D8" s="49" t="str">
        <x:v>Cada sessão de diagnóstico ou validação relevante.</x:v>
      </x:c>
      <x:c r="E8" s="49" t="str">
        <x:v>Item, data, cenário, resultado e conclusão.</x:v>
      </x:c>
      <x:c r="F8" s="50" t="str">
        <x:v>Não sobrescrever testes anteriores.</x:v>
      </x:c>
    </x:row>
    <x:row r="9">
      <x:c r="A9" s="69" t="str">
        <x:v>Estado</x:v>
      </x:c>
      <x:c r="B9" s="49" t="str"/>
      <x:c r="C9" s="49" t="str"/>
      <x:c r="D9" s="49" t="str">
        <x:v>Valores padronizados</x:v>
      </x:c>
      <x:c r="E9" s="49" t="str">
        <x:v>Funcionando; Liga, sem vídeo; Não testada; Em diagnóstico; Necessita reparo; Baixada.</x:v>
      </x:c>
      <x:c r="F9" s="50" t="str">
        <x:v>Selecionar pelas listas suspensas.</x:v>
      </x:c>
    </x:row>
    <x:row r="10">
      <x:c r="A10" s="69" t="str">
        <x:v>Fonte de evidência</x:v>
      </x:c>
      <x:c r="B10" s="49" t="str"/>
      <x:c r="C10" s="49" t="str"/>
      <x:c r="D10" s="49" t="str">
        <x:v>Indicar anexos, software ou cadastro anterior.</x:v>
      </x:c>
      <x:c r="E10" s="49" t="str">
        <x:v>Ex.: Anexos 31–33; HWiNFO; CPU-Z.</x:v>
      </x:c>
      <x:c r="F10" s="50" t="str">
        <x:v>Campos não comprovados devem ficar como “Não confirmado”.</x:v>
      </x:c>
    </x:row>
    <x:row r="11">
      <x:c r="A11" s="69" t="str">
        <x:v>Fotos</x:v>
      </x:c>
      <x:c r="B11" s="49" t="str"/>
      <x:c r="C11" s="49" t="str"/>
      <x:c r="D11" s="49" t="str">
        <x:v>Registrar referência de anexos ou caminho futuro.</x:v>
      </x:c>
      <x:c r="E11" s="49" t="str">
        <x:v>Frente, verso, etiquetas, tela do HWiNFO/CPU-Z.</x:v>
      </x:c>
      <x:c r="F11" s="50" t="str">
        <x:v>O índice de fotos liga cada imagem ao item.</x:v>
      </x:c>
    </x:row>
    <x:row r="12">
      <x:c r="A12" s="70" t="str">
        <x:v>Aquisição</x:v>
      </x:c>
      <x:c r="B12" s="52" t="str"/>
      <x:c r="C12" s="52" t="str"/>
      <x:c r="D12" s="52" t="str">
        <x:v>Preencher quando conhecido.</x:v>
      </x:c>
      <x:c r="E12" s="52" t="str">
        <x:v>Data, procedência, valor pago e localização física.</x:v>
      </x:c>
      <x:c r="F12" s="53" t="str">
        <x:v>Esses campos podem ser adicionados em versão futura sem alterar códigos.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3" max="3" width="24" hidden="0" customWidth="1"/>
  </x:cols>
  <x:sheetData>
    <x:row r="1">
      <x:c r="A1" s="14" t="str">
        <x:v>Estados</x:v>
      </x:c>
      <x:c r="C1" s="14" t="str">
        <x:v>Resultados de teste</x:v>
      </x:c>
    </x:row>
    <x:row r="2">
      <x:c r="A2" t="str">
        <x:v>Funcionando</x:v>
      </x:c>
      <x:c r="C2" t="str">
        <x:v>Aprovado</x:v>
      </x:c>
    </x:row>
    <x:row r="3">
      <x:c r="A3" t="str">
        <x:v>Liga, sem vídeo</x:v>
      </x:c>
      <x:c r="C3" t="str">
        <x:v>Reprovado</x:v>
      </x:c>
    </x:row>
    <x:row r="4">
      <x:c r="A4" t="str">
        <x:v>Não testada</x:v>
      </x:c>
      <x:c r="C4" t="str">
        <x:v>Pendente diagnóstico</x:v>
      </x:c>
    </x:row>
    <x:row r="5">
      <x:c r="A5" t="str">
        <x:v>Em diagnóstico</x:v>
      </x:c>
      <x:c r="C5" t="str">
        <x:v>Inconclusivo</x:v>
      </x:c>
    </x:row>
    <x:row r="6">
      <x:c r="A6" t="str">
        <x:v>Necessita reparo</x:v>
      </x:c>
    </x:row>
    <x:row r="7">
      <x:c r="A7" t="str">
        <x:v>Baixada</x:v>
      </x:c>
    </x:row>
  </x:sheetData>
  <x:pageMargins left="0.7" right="0.7" top="0.75" bottom="0.75" header="0.3" footer="0.3"/>
</x:worksheet>
</file>